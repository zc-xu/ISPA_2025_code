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41ea05429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ization" sheetId="3" r:id="Rc95cf6a008224d92"/>
    <x:sheet xmlns:r="http://schemas.openxmlformats.org/officeDocument/2006/relationships" name="Seed Results" sheetId="1" r:id="Rb552d0cc74f649b6"/>
    <x:sheet xmlns:r="http://schemas.openxmlformats.org/officeDocument/2006/relationships" name="Figure Files" sheetId="2" r:id="Rab096bae4d12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"/>
    <x:numFmt numFmtId="202" formatCode="0.00"/>
    <x:numFmt numFmtId="203" formatCode="#,##0.0000"/>
    <x:numFmt numFmtId="204" formatCode="0.00%"/>
  </x:numFmts>
  <x:fonts count="14">
    <x:font>
      <x:sz val="11"/>
      <x:color theme="1"/>
      <x:name val="等线"/>
    </x:font>
    <x:font>
      <x:sz val="11"/>
      <x:color theme="1"/>
      <x:name val="等线"/>
    </x:font>
    <x:font>
      <x:sz val="12"/>
      <x:color rgb="FF000000"/>
      <x:name val="Cambria Math"/>
    </x:font>
    <x:font>
      <x:sz val="11"/>
      <x:color rgb="FFFF0000"/>
      <x:name val="等线"/>
    </x:font>
    <x:font>
      <x:sz val="9"/>
      <x:name val="等线"/>
    </x:font>
    <x:font>
      <x:sz val="11"/>
      <x:color theme="1"/>
      <x:name val="等线"/>
    </x:font>
    <x:font>
      <x:b/>
      <x:sz val="16"/>
      <x:color rgb="FFFFFFFF"/>
      <x:name val="等线"/>
    </x:font>
    <x:font>
      <x:i/>
      <x:sz val="10"/>
      <x:color rgb="FF5B6573"/>
      <x:name val="等线"/>
    </x:font>
    <x:font>
      <x:b/>
      <x:sz val="10"/>
      <x:color rgb="FFFFFFFF"/>
      <x:name val="等线"/>
    </x:font>
    <x:font>
      <x:sz val="10"/>
      <x:color rgb="FF202020"/>
      <x:name val="等线"/>
    </x:font>
    <x:font>
      <x:b/>
      <x:sz val="10"/>
      <x:color rgb="FF202020"/>
      <x:name val="等线"/>
    </x:font>
    <x:font>
      <x:b/>
      <x:sz val="11"/>
      <x:color rgb="FF202020"/>
      <x:name val="等线"/>
    </x:font>
    <x:font>
      <x:sz val="9"/>
      <x:color rgb="FF5B6573"/>
      <x:name val="等线"/>
    </x:font>
    <x:font>
      <x:i/>
      <x:sz val="8"/>
      <x:color rgb="FF5B6573"/>
      <x:name val="等线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4F6F8"/>
      </x:patternFill>
    </x:fill>
    <x:fill>
      <x:patternFill patternType="solid">
        <x:fgColor rgb="FFFFF1F1"/>
      </x:patternFill>
    </x:fill>
    <x:fill>
      <x:patternFill patternType="solid">
        <x:fgColor rgb="FFF4EEFA"/>
      </x:patternFill>
    </x:fill>
  </x:fills>
  <x:borders count="11">
    <x:border/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5D9DE"/>
      </x:bottom>
    </x:border>
    <x:border>
      <x:top style="thin">
        <x:color rgb="FFD5D9DE"/>
      </x:top>
      <x:bottom style="thin">
        <x:color rgb="FFD5D9DE"/>
      </x:bottom>
    </x:border>
  </x:borders>
  <x:cellStyleXfs count="2">
    <x:xf numFmtId="0" fontId="0" fillId="0" borderId="0"/>
    <x:xf numFmtId="0" fontId="1" fillId="0" borderId="0"/>
  </x:cellStyleXfs>
  <x:cellXfs count="60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vertical="center"/>
    </x:xf>
    <x:xf numFmtId="0" fontId="0" fillId="0" borderId="0" xfId="0" applyAlignment="1">
      <x:alignment vertical="center"/>
    </x:xf>
    <x:xf numFmtId="0" fontId="1" fillId="0" borderId="3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3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4" xfId="0" applyBorder="1" applyAlignment="1">
      <x:alignment vertical="center"/>
    </x:xf>
    <x:xf numFmtId="0" fontId="2" fillId="0" borderId="0" xfId="0" applyFont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vertical="center"/>
    </x:xf>
    <x:xf numFmtId="0" fontId="0" fillId="0" borderId="7" xfId="0" applyBorder="1" applyAlignment="1">
      <x:alignment vertical="center"/>
    </x:xf>
    <x:xf numFmtId="0" fontId="1" fillId="0" borderId="0" xfId="1" applyAlignment="1">
      <x:alignment vertical="center"/>
    </x:xf>
    <x:xf numFmtId="0" fontId="3" fillId="2" borderId="0" xfId="0" applyFont="1" applyFill="1" applyAlignment="1">
      <x:alignment vertical="center"/>
    </x:xf>
    <x:xf numFmtId="0" fontId="5" fillId="0" borderId="0" xfId="1" applyFont="1" applyAlignment="1">
      <x:alignment vertical="center"/>
    </x:xf>
    <x:xf numFmtId="0" fontId="5" fillId="2" borderId="1" xfId="0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8" xfId="0" applyNumberFormat="1" applyFont="1" applyFill="1" applyBorder="1"/>
    <x:xf numFmtId="0" fontId="8" fillId="3" borderId="8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0" fontId="9" fillId="0" borderId="10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left"/>
    </x:xf>
    <x:xf numFmtId="0" fontId="11" fillId="5" borderId="0" xfId="0" applyNumberFormat="1" applyFont="1" applyFill="1" applyBorder="1" applyAlignment="1">
      <x:alignment horizontal="left" vertical="center"/>
    </x:xf>
    <x:xf numFmtId="200" fontId="9" fillId="6" borderId="9" xfId="0" applyNumberFormat="1" applyFont="1" applyFill="1" applyBorder="1" applyAlignment="1">
      <x:alignment vertical="center"/>
    </x:xf>
    <x:xf numFmtId="200" fontId="9" fillId="6" borderId="10" xfId="0" applyNumberFormat="1" applyFont="1" applyFill="1" applyBorder="1" applyAlignment="1">
      <x:alignment vertical="center"/>
    </x:xf>
    <x:xf numFmtId="200" fontId="9" fillId="7" borderId="9" xfId="0" applyNumberFormat="1" applyFont="1" applyFill="1" applyBorder="1" applyAlignment="1">
      <x:alignment vertical="center"/>
    </x:xf>
    <x:xf numFmtId="200" fontId="9" fillId="7" borderId="10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vertical="center"/>
    </x:xf>
    <x:xf numFmtId="201" fontId="9" fillId="0" borderId="10" xfId="0" applyNumberFormat="1" applyFont="1" applyFill="1" applyBorder="1" applyAlignment="1">
      <x:alignment vertical="center"/>
    </x:xf>
    <x:xf numFmtId="202" fontId="9" fillId="0" borderId="10" xfId="0" applyNumberFormat="1" applyFont="1" applyFill="1" applyBorder="1" applyAlignment="1">
      <x:alignment vertical="center"/>
    </x:xf>
    <x:xf numFmtId="203" fontId="9" fillId="0" borderId="10" xfId="0" applyNumberFormat="1" applyFont="1" applyFill="1" applyBorder="1" applyAlignment="1">
      <x:alignment vertical="center"/>
    </x:xf>
    <x:xf numFmtId="204" fontId="9" fillId="0" borderId="1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db9fe2f964c43" /><Relationship Type="http://schemas.openxmlformats.org/officeDocument/2006/relationships/theme" Target="/xl/theme/theme1.xml" Id="Re485844f82a649a1" /><Relationship Type="http://schemas.openxmlformats.org/officeDocument/2006/relationships/sharedStrings" Target="/xl/sharedStrings.xml" Id="Rab173de9182a4c7e" /><Relationship Type="http://schemas.openxmlformats.org/officeDocument/2006/relationships/worksheet" Target="/xl/worksheets/sheet1.xml" Id="Rc95cf6a008224d92" /><Relationship Type="http://schemas.openxmlformats.org/officeDocument/2006/relationships/worksheet" Target="/xl/worksheets/sheet2.xml" Id="Rb552d0cc74f649b6" /><Relationship Type="http://schemas.openxmlformats.org/officeDocument/2006/relationships/worksheet" Target="/xl/worksheets/sheet3.xml" Id="Rab096bae4d124f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1a4db1bdea4886" /><Relationship Type="http://schemas.openxmlformats.org/officeDocument/2006/relationships/chart" Target="/xl/drawings/charts/chart2.xml" Id="R58a5b4ab4bfd47e7" /><Relationship Type="http://schemas.openxmlformats.org/officeDocument/2006/relationships/chart" Target="/xl/drawings/charts/chart3.xml" Id="R90130c06342b4cae" /><Relationship Type="http://schemas.openxmlformats.org/officeDocument/2006/relationships/chart" Target="/xl/drawings/charts/chart4.xml" Id="R6d414b0ec0e6466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(2)'!$B$26:$E$26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(2)'!$B$27:$E$27</c:f>
              <c:numCache>
                <c:formatCode>General</c:formatCode>
                <c:ptCount val="4"/>
                <c:pt idx="0">
                  <c:v>0.3072</c:v>
                </c:pt>
                <c:pt idx="1">
                  <c:v>0.2646</c:v>
                </c:pt>
                <c:pt idx="2">
                  <c:v>0.2729</c:v>
                </c:pt>
                <c:pt idx="3">
                  <c:v>0.298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9124026098473848"/>
              <c:y val="0.2323005634479904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rgbClr val="9467BD"/>
            </a:solidFill>
            <a:ln xmlns:a="http://schemas.openxmlformats.org/drawingml/2006/main" w="9525">
              <a:solidFill>
                <a:srgbClr val="7E57A6"/>
              </a:solidFill>
              <a:prstDash val="solid"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'Generalization'!$B$5:$F$5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'Generalization'!$B$6:$F$6</c:f>
              <c:numCache>
                <c:formatCode>0.000</c:formatCode>
                <c:ptCount val="4"/>
                <c:pt idx="0">
                  <c:v>0.215</c:v>
                </c:pt>
                <c:pt idx="1">
                  <c:v>0.1945</c:v>
                </c:pt>
                <c:pt idx="2">
                  <c:v>0.2304</c:v>
                </c:pt>
                <c:pt idx="3">
                  <c:v>0.2393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ax val="0.7"/>
          <c:min val="0.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08551219095607"/>
              <c:y val="0.219942696816671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chemeClr val="tx1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  <c:majorUnit val="0.1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(2)'!$V$9:$Y$9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(2)'!$V$10:$Y$10</c:f>
              <c:numCache>
                <c:formatCode>General</c:formatCode>
                <c:ptCount val="4"/>
                <c:pt idx="0">
                  <c:v>0.3894</c:v>
                </c:pt>
                <c:pt idx="1">
                  <c:v>0.3282</c:v>
                </c:pt>
                <c:pt idx="2">
                  <c:v>0.355</c:v>
                </c:pt>
                <c:pt idx="3">
                  <c:v>0.3363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25869805095337633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  <c:majorUnit val="0.08000000000000002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"/>
          <c:y val="0.10392000430216147"/>
          <c:w val="0.729729325403244"/>
          <c:h val="0.76548761120440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Pt>
            <c:idx val="0"/>
            <c:spPr>
              <a:pattFill xmlns:a="http://schemas.openxmlformats.org/drawingml/2006/main" prst="pct30">
                <a:fgClr>
                  <a:srgbClr val="0070C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pattFill xmlns:a="http://schemas.openxmlformats.org/drawingml/2006/main" prst="smCheck">
                <a:fgClr>
                  <a:srgbClr val="FF000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FF0000"/>
                </a:solidFill>
              </a:ln>
            </c:spPr>
          </c:dPt>
          <c:dPt>
            <c:idx val="2"/>
            <c:spPr>
              <a:pattFill xmlns:a="http://schemas.openxmlformats.org/drawingml/2006/main" prst="wdUpDiag">
                <a:fgClr>
                  <a:srgbClr val="00B050"/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rgbClr val="00B050"/>
                </a:solidFill>
              </a:ln>
            </c:spPr>
          </c:dPt>
          <c:dPt>
            <c:idx val="3"/>
            <c:spPr>
              <a:pattFill xmlns:a="http://schemas.openxmlformats.org/drawingml/2006/main"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 xmlns:a="http://schemas.openxmlformats.org/drawingml/2006/main">
                <a:solidFill>
                  <a:schemeClr val="accent4">
                    <a:lumMod val="75000"/>
                  </a:schemeClr>
                </a:solidFill>
              </a:ln>
            </c:spPr>
          </c:dPt>
          <c:cat>
            <c:strRef>
              <c:f>'Sheet1 (2)'!$V$26:$Y$26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f>'Sheet1 (2)'!$V$27:$Y$27</c:f>
              <c:numCache>
                <c:formatCode>General</c:formatCode>
                <c:ptCount val="4"/>
                <c:pt idx="0">
                  <c:v>0.3196</c:v>
                </c:pt>
                <c:pt idx="1">
                  <c:v>0.2864</c:v>
                </c:pt>
                <c:pt idx="2">
                  <c:v>0.298</c:v>
                </c:pt>
                <c:pt idx="3">
                  <c:v>0.3049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8640"/>
        <c:crosses val="autoZero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0.0803865378689086"/>
              <c:y val="0.23230048345212156"/>
            </c:manualLayout>
          </c:layout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u="none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</a:p>
        </c:txPr>
        <c:crossAx val="33307656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tx1"/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51</xdr:col>
      <xdr:colOff>225114</xdr:colOff>
      <xdr:row>99</xdr:row>
      <xdr:rowOff>147506</xdr:rowOff>
    </xdr:from>
    <xdr:to>
      <xdr:col>60</xdr:col>
      <xdr:colOff>557396</xdr:colOff>
      <xdr:row>116</xdr:row>
      <xdr:rowOff>3412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1a4db1bdea4886"/>
        </a:graphicData>
      </a:graphic>
    </xdr:graphicFrame>
    <xdr:clientData/>
  </xdr:twoCellAnchor>
  <xdr:twoCellAnchor>
    <xdr:from>
      <xdr:col>7</xdr:col>
      <xdr:colOff>620059</xdr:colOff>
      <xdr:row>2</xdr:row>
      <xdr:rowOff>0</xdr:rowOff>
    </xdr:from>
    <xdr:to>
      <xdr:col>16</xdr:col>
      <xdr:colOff>265046</xdr:colOff>
      <xdr:row>19</xdr:row>
      <xdr:rowOff>35201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a5b4ab4bfd47e7"/>
        </a:graphicData>
      </a:graphic>
    </xdr:graphicFrame>
    <xdr:clientData/>
  </xdr:twoCellAnchor>
  <xdr:twoCellAnchor>
    <xdr:from>
      <xdr:col>51</xdr:col>
      <xdr:colOff>7471</xdr:colOff>
      <xdr:row>119</xdr:row>
      <xdr:rowOff>0</xdr:rowOff>
    </xdr:from>
    <xdr:to>
      <xdr:col>60</xdr:col>
      <xdr:colOff>309871</xdr:colOff>
      <xdr:row>136</xdr:row>
      <xdr:rowOff>35201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130c06342b4cae"/>
        </a:graphicData>
      </a:graphic>
    </xdr:graphicFrame>
    <xdr:clientData/>
  </xdr:twoCellAnchor>
  <xdr:twoCellAnchor>
    <xdr:from>
      <xdr:col>51</xdr:col>
      <xdr:colOff>27214</xdr:colOff>
      <xdr:row>139</xdr:row>
      <xdr:rowOff>82176</xdr:rowOff>
    </xdr:from>
    <xdr:to>
      <xdr:col>60</xdr:col>
      <xdr:colOff>329614</xdr:colOff>
      <xdr:row>156</xdr:row>
      <xdr:rowOff>117377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414b0ec0e6466c"/>
        </a:graphicData>
      </a:graphic>
    </xdr:graphicFrame>
    <xdr:clientData/>
  </xdr:twoCellAnchor>
  <xdr:oneCellAnchor>
    <xdr:from>
      <xdr:col>0</xdr:col>
      <xdr:colOff>517386</xdr:colOff>
      <xdr:row>25</xdr:row>
      <xdr:rowOff>59082</xdr:rowOff>
    </xdr:from>
    <xdr:ext cx="65" cy="172227"/>
    <xdr:sp>
      <xdr:nvSpPr>
        <xdr:cNvPr id="5" name="文本框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17386" y="4504082"/>
          <a:ext cx="65" cy="172227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  <xdr:oneCellAnchor>
    <xdr:from>
      <xdr:col>11</xdr:col>
      <xdr:colOff>517386</xdr:colOff>
      <xdr:row>25</xdr:row>
      <xdr:rowOff>59082</xdr:rowOff>
    </xdr:from>
    <xdr:ext cx="65" cy="172227"/>
    <xdr:sp>
      <xdr:nvSpPr>
        <xdr:cNvPr id="6" name="文本框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061186" y="4504082"/>
          <a:ext cx="65" cy="172227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13f166227043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3" max="13" width="9" customWidth="1"/>
    <x:col min="1" max="1" width="25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22" t="str">
        <x:v>Geographical Generalization: End-to-End Results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 s="5"/>
      <x:c r="AG1" s="5"/>
      <x:c r="AH1" s="5"/>
      <x:c r="AI1" s="5"/>
      <x:c r="AJ1" s="5"/>
      <x:c r="AK1" s="5"/>
      <x:c r="AL1" s="5"/>
      <x:c r="AM1" s="5"/>
    </x:row>
    <x:row r="2">
      <x:c r="A2" s="25" t="str">
        <x:v>A geographically distinct real-station instance with 40 candidate stations, 10 deployed servers, 130 users, and eight service types.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 s="5"/>
      <x:c r="AG2" s="5"/>
      <x:c r="AH2" s="5"/>
      <x:c r="AI2" s="5"/>
      <x:c r="AJ2" s="5"/>
      <x:c r="AK2" s="5"/>
      <x:c r="AL2" s="5"/>
      <x:c r="AM2" s="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 s="5"/>
      <x:c r="AG3" s="5"/>
      <x:c r="AH3" s="5"/>
      <x:c r="AI3" s="5"/>
      <x:c r="AJ3" s="5"/>
      <x:c r="AK3" s="5"/>
      <x:c r="AL3" s="5"/>
      <x:c r="AM3" s="5"/>
    </x:row>
    <x:row r="4">
      <x:c r="A4" s="43" t="str">
        <x:v>Stage II common Best Q (lower is better)</x:v>
      </x:c>
      <x:c r="B4" s="43"/>
      <x:c r="C4" s="43"/>
      <x:c r="D4" s="43"/>
      <x:c r="E4" s="43"/>
      <x:c r="F4" s="43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 s="5"/>
      <x:c r="AG4" s="5"/>
      <x:c r="AH4" s="5"/>
      <x:c r="AI4" s="5"/>
      <x:c r="AJ4" s="5"/>
      <x:c r="AK4" s="5"/>
      <x:c r="AL4" s="5"/>
      <x:c r="AM4" s="5"/>
    </x:row>
    <x:row r="5" ht="28" customHeight="1">
      <x:c r="A5" s="30" t="str">
        <x:v>Method</x:v>
      </x:c>
      <x:c r="B5" s="30" t="str">
        <x:v>NS-P</x:v>
      </x:c>
      <x:c r="C5" s="30" t="str">
        <x:v>PSP</x:v>
      </x:c>
      <x:c r="D5" s="30" t="str">
        <x:v>GCP</x:v>
      </x:c>
      <x:c r="E5" s="30" t="str">
        <x:v>GDP</x:v>
      </x:c>
      <x:c r="F5" s="30" t="str">
        <x:v>DQN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 s="5"/>
      <x:c r="AG5" s="5"/>
      <x:c r="AH5" s="5"/>
      <x:c r="AI5" s="5"/>
      <x:c r="AJ5" s="5"/>
      <x:c r="AK5" s="5"/>
      <x:c r="AL5" s="5"/>
      <x:c r="AM5" s="5"/>
    </x:row>
    <x:row r="6">
      <x:c r="A6" s="34" t="str">
        <x:v>Mean</x:v>
      </x:c>
      <x:c r="B6" s="36" t="n">
        <x:f>'Seed Results'!E4</x:f>
        <x:v>0.29527171101966104</x:v>
      </x:c>
      <x:c r="C6" s="36" t="n">
        <x:f>'Seed Results'!E5</x:f>
        <x:v>0.2678392228703066</x:v>
      </x:c>
      <x:c r="D6" s="36" t="n">
        <x:f>'Seed Results'!E6</x:f>
        <x:v>0.2800172908233785</x:v>
      </x:c>
      <x:c r="E6" s="36" t="n">
        <x:f>'Seed Results'!E7</x:f>
        <x:v>0.2732792548637378</x:v>
      </x:c>
      <x:c r="F6" s="36" t="n">
        <x:f>'Seed Results'!E8</x:f>
        <x:v>0.5516588469868084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 s="5"/>
      <x:c r="AG6" s="5"/>
      <x:c r="AH6" s="5"/>
      <x:c r="AI6" s="5"/>
      <x:c r="AJ6" s="5"/>
      <x:c r="AK6" s="5"/>
      <x:c r="AL6" s="5"/>
      <x:c r="AM6" s="5"/>
    </x:row>
    <x:row r="7">
      <x:c r="A7" s="35" t="str">
        <x:v>SD</x:v>
      </x:c>
      <x:c r="B7" s="37" t="n">
        <x:f>'Seed Results'!F4</x:f>
        <x:v>0.058427769807437954</x:v>
      </x:c>
      <x:c r="C7" s="37" t="n">
        <x:f>'Seed Results'!F5</x:f>
        <x:v>0.05028459484732145</x:v>
      </x:c>
      <x:c r="D7" s="37" t="n">
        <x:f>'Seed Results'!F6</x:f>
        <x:v>0.04468683339509512</x:v>
      </x:c>
      <x:c r="E7" s="37" t="n">
        <x:f>'Seed Results'!F7</x:f>
        <x:v>0.038000677250246195</x:v>
      </x:c>
      <x:c r="F7" s="37" t="n">
        <x:f>'Seed Results'!F8</x:f>
        <x:v>0.10212197199572563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 s="5"/>
      <x:c r="AG7" s="5"/>
      <x:c r="AH7" s="5"/>
      <x:c r="AI7" s="5"/>
      <x:c r="AJ7" s="5"/>
      <x:c r="AK7" s="5"/>
      <x:c r="AL7" s="5"/>
      <x:c r="AM7" s="5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 s="5"/>
      <x:c r="AG8" s="5"/>
      <x:c r="AH8" s="5"/>
      <x:c r="AI8" s="5"/>
      <x:c r="AJ8" s="5"/>
      <x:c r="AK8" s="5"/>
      <x:c r="AL8" s="5"/>
      <x:c r="AM8" s="5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 s="5"/>
      <x:c r="AG9" s="5"/>
      <x:c r="AH9" s="5"/>
      <x:c r="AI9" s="5"/>
      <x:c r="AJ9" s="5"/>
      <x:c r="AK9" s="5"/>
      <x:c r="AL9" s="5"/>
      <x:c r="AM9" s="5"/>
    </x:row>
    <x:row r="10" ht="28" customHeight="1">
      <x:c r="A10" s="30" t="str">
        <x:v>Metric</x:v>
      </x:c>
      <x:c r="B10" s="30" t="str">
        <x:v>NS-P</x:v>
      </x:c>
      <x:c r="C10" s="30" t="str">
        <x:v>PSP</x:v>
      </x:c>
      <x:c r="D10" s="30" t="str">
        <x:v>GCP</x:v>
      </x:c>
      <x:c r="E10" s="30" t="str">
        <x:v>GDP</x:v>
      </x:c>
      <x:c r="F10" s="30" t="str">
        <x:v>DQN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 s="5"/>
      <x:c r="AG10" s="5"/>
      <x:c r="AH10" s="5"/>
      <x:c r="AI10" s="5"/>
      <x:c r="AJ10" s="5"/>
      <x:c r="AK10" s="5"/>
      <x:c r="AL10" s="5"/>
      <x:c r="AM10" s="5"/>
    </x:row>
    <x:row r="11">
      <x:c r="A11" s="38" t="str">
        <x:v>Best Q mean</x:v>
      </x:c>
      <x:c r="B11" s="36" t="n">
        <x:f>'Seed Results'!E4</x:f>
        <x:v>0.29527171101966104</x:v>
      </x:c>
      <x:c r="C11" s="44" t="n">
        <x:f>'Seed Results'!E5</x:f>
        <x:v>0.2678392228703066</x:v>
      </x:c>
      <x:c r="D11" s="36" t="n">
        <x:f>'Seed Results'!E6</x:f>
        <x:v>0.2800172908233785</x:v>
      </x:c>
      <x:c r="E11" s="36" t="n">
        <x:f>'Seed Results'!E7</x:f>
        <x:v>0.2732792548637378</x:v>
      </x:c>
      <x:c r="F11" s="46" t="n">
        <x:f>'Seed Results'!E8</x:f>
        <x:v>0.5516588469868084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 s="5"/>
      <x:c r="AG11" s="5"/>
      <x:c r="AH11" s="5"/>
      <x:c r="AI11" s="5"/>
      <x:c r="AJ11" s="5"/>
      <x:c r="AK11" s="5"/>
      <x:c r="AL11" s="5"/>
      <x:c r="AM11" s="5"/>
    </x:row>
    <x:row r="12">
      <x:c r="A12" s="39" t="str">
        <x:v>Best Q SD</x:v>
      </x:c>
      <x:c r="B12" s="37" t="n">
        <x:f>'Seed Results'!F4</x:f>
        <x:v>0.058427769807437954</x:v>
      </x:c>
      <x:c r="C12" s="45" t="n">
        <x:f>'Seed Results'!F5</x:f>
        <x:v>0.05028459484732145</x:v>
      </x:c>
      <x:c r="D12" s="37" t="n">
        <x:f>'Seed Results'!F6</x:f>
        <x:v>0.04468683339509512</x:v>
      </x:c>
      <x:c r="E12" s="37" t="n">
        <x:f>'Seed Results'!F7</x:f>
        <x:v>0.038000677250246195</x:v>
      </x:c>
      <x:c r="F12" s="47" t="n">
        <x:f>'Seed Results'!F8</x:f>
        <x:v>0.10212197199572563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 s="5"/>
      <x:c r="AG12" s="5"/>
      <x:c r="AH12" s="5"/>
      <x:c r="AI12" s="5"/>
      <x:c r="AJ12" s="5"/>
      <x:c r="AK12" s="5"/>
      <x:c r="AL12" s="5"/>
      <x:c r="AM12" s="5"/>
    </x:row>
    <x:row r="13">
      <x:c r="A13" s="39" t="str">
        <x:v>HV mean</x:v>
      </x:c>
      <x:c r="B13" s="37" t="n">
        <x:f>'Seed Results'!J4</x:f>
        <x:v>0.9574027814187405</x:v>
      </x:c>
      <x:c r="C13" s="45" t="n">
        <x:f>'Seed Results'!J5</x:f>
        <x:v>1.0115599611405184</x:v>
      </x:c>
      <x:c r="D13" s="37" t="n">
        <x:f>'Seed Results'!J6</x:f>
        <x:v>0.9798872696378845</x:v>
      </x:c>
      <x:c r="E13" s="37" t="n">
        <x:f>'Seed Results'!J7</x:f>
        <x:v>0.9742293860614083</x:v>
      </x:c>
      <x:c r="F13" s="47" t="str">
        <x:v>N/A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 s="5"/>
      <x:c r="AG13" s="5"/>
      <x:c r="AH13" s="5"/>
      <x:c r="AI13" s="5"/>
      <x:c r="AJ13" s="5"/>
      <x:c r="AK13" s="5"/>
      <x:c r="AL13" s="5"/>
      <x:c r="AM13" s="5"/>
    </x:row>
    <x:row r="14">
      <x:c r="A14" s="39" t="str">
        <x:v>HV SD</x:v>
      </x:c>
      <x:c r="B14" s="37" t="n">
        <x:f>'Seed Results'!K4</x:f>
        <x:v>0.08397737047305208</x:v>
      </x:c>
      <x:c r="C14" s="45" t="n">
        <x:f>'Seed Results'!K5</x:f>
        <x:v>0.05794230497239521</x:v>
      </x:c>
      <x:c r="D14" s="37" t="n">
        <x:f>'Seed Results'!K6</x:f>
        <x:v>0.06905651320559288</x:v>
      </x:c>
      <x:c r="E14" s="37" t="n">
        <x:f>'Seed Results'!K7</x:f>
        <x:v>0.05222971636940884</x:v>
      </x:c>
      <x:c r="F14" s="47" t="str">
        <x:v>N/A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 s="5"/>
      <x:c r="AG14" s="5"/>
      <x:c r="AH14" s="5"/>
      <x:c r="AI14" s="5"/>
      <x:c r="AJ14" s="5"/>
      <x:c r="AK14" s="5"/>
      <x:c r="AL14" s="5"/>
      <x:c r="AM14" s="5"/>
    </x:row>
    <x:row r="15">
      <x:c r="A15" s="39" t="str">
        <x:v>IGD mean</x:v>
      </x:c>
      <x:c r="B15" s="37" t="n">
        <x:f>'Seed Results'!O4</x:f>
        <x:v>0.04983864352716144</x:v>
      </x:c>
      <x:c r="C15" s="45" t="n">
        <x:f>'Seed Results'!O5</x:f>
        <x:v>0.012927294478479968</x:v>
      </x:c>
      <x:c r="D15" s="37" t="n">
        <x:f>'Seed Results'!O6</x:f>
        <x:v>0.04464097839106649</x:v>
      </x:c>
      <x:c r="E15" s="37" t="n">
        <x:f>'Seed Results'!O7</x:f>
        <x:v>0.04075749113934467</x:v>
      </x:c>
      <x:c r="F15" s="47" t="str">
        <x:v>N/A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 s="5"/>
      <x:c r="AG15" s="5"/>
      <x:c r="AH15" s="5"/>
      <x:c r="AI15" s="5"/>
      <x:c r="AJ15" s="5"/>
      <x:c r="AK15" s="5"/>
      <x:c r="AL15" s="5"/>
      <x:c r="AM15" s="5"/>
    </x:row>
    <x:row r="16">
      <x:c r="A16" s="39" t="str">
        <x:v>IGD SD</x:v>
      </x:c>
      <x:c r="B16" s="37" t="n">
        <x:f>'Seed Results'!P4</x:f>
        <x:v>0.03278510791937491</x:v>
      </x:c>
      <x:c r="C16" s="45" t="n">
        <x:f>'Seed Results'!P5</x:f>
        <x:v>0.005469892511698154</x:v>
      </x:c>
      <x:c r="D16" s="37" t="n">
        <x:f>'Seed Results'!P6</x:f>
        <x:v>0.015846310847790045</x:v>
      </x:c>
      <x:c r="E16" s="37" t="n">
        <x:f>'Seed Results'!P7</x:f>
        <x:v>0.023350548666144704</x:v>
      </x:c>
      <x:c r="F16" s="47" t="str">
        <x:v>N/A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 s="5"/>
      <x:c r="AG16" s="5"/>
      <x:c r="AH16" s="5"/>
      <x:c r="AI16" s="5"/>
      <x:c r="AJ16" s="5"/>
      <x:c r="AK16" s="5"/>
      <x:c r="AL16" s="5"/>
      <x:c r="AM16" s="5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 s="5"/>
      <x:c r="AG17" s="5"/>
      <x:c r="AH17" s="5"/>
      <x:c r="AI17" s="5"/>
      <x:c r="AJ17" s="5"/>
      <x:c r="AK17" s="5"/>
      <x:c r="AL17" s="5"/>
      <x:c r="AM17" s="5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 s="5"/>
      <x:c r="AG18" s="5"/>
      <x:c r="AH18" s="5"/>
      <x:c r="AI18" s="5"/>
      <x:c r="AJ18" s="5"/>
      <x:c r="AK18" s="5"/>
      <x:c r="AL18" s="5"/>
      <x:c r="AM18" s="5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 s="5"/>
      <x:c r="AG19" s="5"/>
      <x:c r="AH19" s="5"/>
      <x:c r="AI19" s="5"/>
      <x:c r="AJ19" s="5"/>
      <x:c r="AK19" s="5"/>
      <x:c r="AL19" s="5"/>
      <x:c r="AM19" s="5"/>
    </x:row>
    <x:row r="20" ht="24" customHeight="1">
      <x:c r="A20" s="30" t="str">
        <x:v>Stage I evidence</x:v>
      </x:c>
      <x:c r="B20" s="30" t="str">
        <x:v>Value</x:v>
      </x:c>
      <x:c r="C20"/>
      <x:c r="D20" s="55" t="str">
        <x:v>HV (higher is better) and IGD (lower is better) are reported for the four 50-solution population methods. DQN is compared through the common equal-weight Best Q because it yields five scalarized policy solutions per seed.</x:v>
      </x:c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 s="5"/>
      <x:c r="AG20" s="5"/>
      <x:c r="AH20" s="5"/>
      <x:c r="AI20" s="5"/>
      <x:c r="AJ20" s="5"/>
      <x:c r="AK20" s="5"/>
      <x:c r="AL20" s="5"/>
      <x:c r="AM20" s="5"/>
    </x:row>
    <x:row r="21" ht="24" customHeight="1">
      <x:c r="A21" s="34" t="str">
        <x:v>Candidate stations</x:v>
      </x:c>
      <x:c r="B21" s="48" t="n">
        <x:v>40</x:v>
      </x:c>
      <x:c r="C21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 s="5"/>
      <x:c r="AG21" s="5"/>
      <x:c r="AH21" s="5"/>
      <x:c r="AI21" s="5"/>
      <x:c r="AJ21" s="5"/>
      <x:c r="AK21" s="5"/>
      <x:c r="AL21" s="5"/>
      <x:c r="AM21" s="5"/>
    </x:row>
    <x:row r="22" ht="24" customHeight="1">
      <x:c r="A22" s="35" t="str">
        <x:v>Deployed servers</x:v>
      </x:c>
      <x:c r="B22" s="49" t="n">
        <x:v>10</x:v>
      </x:c>
      <x:c r="C22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 s="5"/>
      <x:c r="AG22" s="5"/>
      <x:c r="AH22" s="5"/>
      <x:c r="AI22" s="5"/>
      <x:c r="AJ22" s="5"/>
      <x:c r="AK22" s="5"/>
      <x:c r="AL22" s="5"/>
      <x:c r="AM22" s="5"/>
    </x:row>
    <x:row r="23">
      <x:c r="A23" s="35" t="str">
        <x:v>Users</x:v>
      </x:c>
      <x:c r="B23" s="49" t="n">
        <x:v>130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 s="5"/>
      <x:c r="AG23" s="5"/>
      <x:c r="AH23" s="5"/>
      <x:c r="AI23" s="5"/>
      <x:c r="AJ23" s="5"/>
      <x:c r="AK23" s="5"/>
      <x:c r="AL23" s="5"/>
      <x:c r="AM23" s="5"/>
    </x:row>
    <x:row r="24">
      <x:c r="A24" s="35" t="str">
        <x:v>Centroid shift (km)</x:v>
      </x:c>
      <x:c r="B24" s="50" t="n">
        <x:v>24.204440176574913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 s="5"/>
      <x:c r="AG24" s="5"/>
      <x:c r="AH24" s="5"/>
      <x:c r="AI24" s="5"/>
      <x:c r="AJ24" s="5"/>
      <x:c r="AK24" s="5"/>
      <x:c r="AL24" s="5"/>
      <x:c r="AM24" s="5"/>
    </x:row>
    <x:row r="25">
      <x:c r="A25" s="35" t="str">
        <x:v>CLS objective</x:v>
      </x:c>
      <x:c r="B25" s="51" t="n">
        <x:v>2304.7669645477567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 s="5"/>
      <x:c r="AG25" s="5"/>
      <x:c r="AH25" s="5"/>
      <x:c r="AI25" s="5"/>
      <x:c r="AJ25" s="5"/>
      <x:c r="AK25" s="5"/>
      <x:c r="AL25" s="5"/>
      <x:c r="AM25" s="5"/>
    </x:row>
    <x:row r="26">
      <x:c r="A26" s="35" t="str">
        <x:v>Best non-CLS objective</x:v>
      </x:c>
      <x:c r="B26" s="51" t="n">
        <x:v>6150.574075411073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 s="5"/>
      <x:c r="AG26" s="5"/>
      <x:c r="AH26" s="5"/>
      <x:c r="AI26" s="5"/>
      <x:c r="AJ26" s="5"/>
      <x:c r="AK26" s="5"/>
      <x:c r="AL26" s="5"/>
      <x:c r="AM26" s="5"/>
    </x:row>
    <x:row r="27">
      <x:c r="A27" s="35" t="str">
        <x:v>CLS reduction</x:v>
      </x:c>
      <x:c r="B27" s="52" t="n">
        <x:f>(B26-B25)/B26</x:f>
        <x:v>0.6252761227993636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 s="5"/>
      <x:c r="AG27" s="5"/>
      <x:c r="AH27" s="5"/>
      <x:c r="AI27" s="5"/>
      <x:c r="AJ27" s="5"/>
      <x:c r="AK27" s="5"/>
      <x:c r="AL27" s="5"/>
      <x:c r="AM27" s="5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 s="5"/>
      <x:c r="AG28" s="5"/>
      <x:c r="AH28" s="5"/>
      <x:c r="AI28" s="5"/>
      <x:c r="AJ28" s="5"/>
      <x:c r="AK28" s="5"/>
      <x:c r="AL28" s="5"/>
      <x:c r="AM28" s="5"/>
    </x:row>
    <x:row r="29">
      <x:c r="A29" s="57" t="str">
        <x:v>Input: data\real_region\input_data_real_sparse_r04_c40_u130_k10_s1_8.xlsx | Stage-I selection: 0 2 8 16 19 29 35 37 38 39 | Stage-II seeds: 42, 43, 44</x:v>
      </x:c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 s="5"/>
      <x:c r="AG29" s="5"/>
      <x:c r="AH29" s="5"/>
      <x:c r="AI29" s="5"/>
      <x:c r="AJ29" s="5"/>
      <x:c r="AK29" s="5"/>
      <x:c r="AL29" s="5"/>
      <x:c r="AM29" s="5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 s="5"/>
      <x:c r="AG30" s="5"/>
      <x:c r="AH30" s="5"/>
      <x:c r="AI30" s="5"/>
      <x:c r="AJ30" s="5"/>
      <x:c r="AK30" s="5"/>
      <x:c r="AL30" s="5"/>
      <x:c r="AM30" s="5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 s="5"/>
      <x:c r="AG31" s="5"/>
      <x:c r="AH31" s="5"/>
      <x:c r="AI31" s="5"/>
      <x:c r="AJ31" s="5"/>
      <x:c r="AK31" s="5"/>
      <x:c r="AL31" s="5"/>
      <x:c r="AM31" s="5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 s="5"/>
      <x:c r="AG32" s="5"/>
      <x:c r="AH32" s="5"/>
      <x:c r="AI32" s="5"/>
      <x:c r="AJ32" s="5"/>
      <x:c r="AK32" s="5"/>
      <x:c r="AL32" s="5"/>
      <x:c r="AM32" s="5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 s="5"/>
      <x:c r="AG33" s="5"/>
      <x:c r="AH33" s="5"/>
      <x:c r="AI33" s="5"/>
      <x:c r="AJ33" s="5"/>
      <x:c r="AK33" s="5"/>
      <x:c r="AL33" s="5"/>
      <x:c r="AM33" s="5"/>
    </x:row>
    <x:row r="34"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 s="5"/>
      <x:c r="AG34" s="5"/>
      <x:c r="AH34" s="5"/>
      <x:c r="AI34" s="5"/>
      <x:c r="AJ34" s="5"/>
      <x:c r="AK34" s="5"/>
      <x:c r="AL34" s="5"/>
      <x:c r="AM34" s="5"/>
    </x:row>
  </x:sheetData>
  <x:mergeCells>
    <x:mergeCell ref="A1:P1"/>
    <x:mergeCell ref="A2:P2"/>
    <x:mergeCell ref="A4:F4"/>
    <x:mergeCell ref="D20:P22"/>
    <x:mergeCell ref="A29:P29"/>
  </x:mergeCells>
  <x:pageMargins left="0.7" right="0.7" top="0.75" bottom="0.75" header="0.3" footer="0.3"/>
  <x:drawing xmlns:r="http://schemas.openxmlformats.org/officeDocument/2006/relationships" r:id="R2413f166227043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3" max="13" width="13" hidden="0" customWidth="1"/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22" t="str">
        <x:v>Geographical Generalization: Seed-Level Results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 s="5"/>
      <x:c r="AG1" s="5"/>
      <x:c r="AH1" s="5"/>
      <x:c r="AI1" s="5"/>
      <x:c r="AJ1" s="5"/>
      <x:c r="AK1" s="5"/>
      <x:c r="AL1" s="5"/>
      <x:c r="AM1" s="5"/>
    </x:row>
    <x:row r="2">
      <x:c r="A2" s="25" t="str">
        <x:v>Alternate real-station region; three independent seeds (42, 43, and 44).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 s="5"/>
      <x:c r="AG2" s="5"/>
      <x:c r="AH2" s="5"/>
      <x:c r="AI2" s="5"/>
      <x:c r="AJ2" s="5"/>
      <x:c r="AK2" s="5"/>
      <x:c r="AL2" s="5"/>
      <x:c r="AM2" s="5"/>
    </x:row>
    <x:row r="3" ht="28" customHeight="1">
      <x:c r="A3" s="30" t="str">
        <x:v>Method</x:v>
      </x:c>
      <x:c r="B3" s="30" t="str">
        <x:v>Best Q (42)</x:v>
      </x:c>
      <x:c r="C3" s="30" t="str">
        <x:v>Best Q (43)</x:v>
      </x:c>
      <x:c r="D3" s="30" t="str">
        <x:v>Best Q (44)</x:v>
      </x:c>
      <x:c r="E3" s="30" t="str">
        <x:v>Best Q mean</x:v>
      </x:c>
      <x:c r="F3" s="30" t="str">
        <x:v>Best Q SD</x:v>
      </x:c>
      <x:c r="G3" s="30" t="str">
        <x:v>HV (42)</x:v>
      </x:c>
      <x:c r="H3" s="30" t="str">
        <x:v>HV (43)</x:v>
      </x:c>
      <x:c r="I3" s="30" t="str">
        <x:v>HV (44)</x:v>
      </x:c>
      <x:c r="J3" s="30" t="str">
        <x:v>HV mean</x:v>
      </x:c>
      <x:c r="K3" s="30" t="str">
        <x:v>HV SD</x:v>
      </x:c>
      <x:c r="L3" s="30" t="str">
        <x:v>IGD (42)</x:v>
      </x:c>
      <x:c r="M3" s="30" t="str">
        <x:v>IGD (43)</x:v>
      </x:c>
      <x:c r="N3" s="30" t="str">
        <x:v>IGD (44)</x:v>
      </x:c>
      <x:c r="O3" s="30" t="str">
        <x:v>IGD mean</x:v>
      </x:c>
      <x:c r="P3" s="30" t="str">
        <x:v>IGD SD</x:v>
      </x:c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 s="5"/>
      <x:c r="AG3" s="5"/>
      <x:c r="AH3" s="5"/>
      <x:c r="AI3" s="5"/>
      <x:c r="AJ3" s="5"/>
      <x:c r="AK3" s="5"/>
      <x:c r="AL3" s="5"/>
      <x:c r="AM3" s="5"/>
    </x:row>
    <x:row r="4">
      <x:c r="A4" s="38" t="str">
        <x:v>NS-P</x:v>
      </x:c>
      <x:c r="B4" s="36" t="n">
        <x:v>0.2343728546376079</x:v>
      </x:c>
      <x:c r="C4" s="36" t="n">
        <x:v>0.350866740281044</x:v>
      </x:c>
      <x:c r="D4" s="36" t="n">
        <x:v>0.3005755381403313</x:v>
      </x:c>
      <x:c r="E4" s="36" t="n">
        <x:f>AVERAGE(B4:D4)</x:f>
        <x:v>0.29527171101966104</x:v>
      </x:c>
      <x:c r="F4" s="36" t="n">
        <x:f>STDEV.S(B4:D4)</x:f>
        <x:v>0.058427769807437954</x:v>
      </x:c>
      <x:c r="G4" s="36" t="n">
        <x:v>1.048108089751652</x:v>
      </x:c>
      <x:c r="H4" s="36" t="n">
        <x:v>0.8823582254650661</x:v>
      </x:c>
      <x:c r="I4" s="36" t="n">
        <x:v>0.9417420290395032</x:v>
      </x:c>
      <x:c r="J4" s="36" t="n">
        <x:f>AVERAGE(G4:I4)</x:f>
        <x:v>0.9574027814187405</x:v>
      </x:c>
      <x:c r="K4" s="36" t="n">
        <x:f>STDEV.S(G4:I4)</x:f>
        <x:v>0.08397737047305208</x:v>
      </x:c>
      <x:c r="L4" s="36" t="n">
        <x:v>0.0192667766346104</x:v>
      </x:c>
      <x:c r="M4" s="36" t="n">
        <x:v>0.0457884962611218</x:v>
      </x:c>
      <x:c r="N4" s="36" t="n">
        <x:v>0.0844606576857521</x:v>
      </x:c>
      <x:c r="O4" s="36" t="n">
        <x:f>AVERAGE(L4:N4)</x:f>
        <x:v>0.04983864352716144</x:v>
      </x:c>
      <x:c r="P4" s="36" t="n">
        <x:f>STDEV.S(L4:N4)</x:f>
        <x:v>0.03278510791937491</x:v>
      </x:c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 s="5"/>
      <x:c r="AG4" s="5"/>
      <x:c r="AH4" s="5"/>
      <x:c r="AI4" s="5"/>
      <x:c r="AJ4" s="5"/>
      <x:c r="AK4" s="5"/>
      <x:c r="AL4" s="5"/>
      <x:c r="AM4" s="5"/>
    </x:row>
    <x:row r="5">
      <x:c r="A5" s="39" t="str">
        <x:v>PSP</x:v>
      </x:c>
      <x:c r="B5" s="37" t="n">
        <x:v>0.2273324743696142</x:v>
      </x:c>
      <x:c r="C5" s="37" t="n">
        <x:v>0.3241195727553839</x:v>
      </x:c>
      <x:c r="D5" s="37" t="n">
        <x:v>0.2520656214859217</x:v>
      </x:c>
      <x:c r="E5" s="37" t="n">
        <x:f>AVERAGE(B5:D5)</x:f>
        <x:v>0.2678392228703066</x:v>
      </x:c>
      <x:c r="F5" s="37" t="n">
        <x:f>STDEV.S(B5:D5)</x:f>
        <x:v>0.05028459484732145</x:v>
      </x:c>
      <x:c r="G5" s="37" t="n">
        <x:v>1.0490168248300376</x:v>
      </x:c>
      <x:c r="H5" s="37" t="n">
        <x:v>0.9448206115017544</x:v>
      </x:c>
      <x:c r="I5" s="37" t="n">
        <x:v>1.040842447089763</x:v>
      </x:c>
      <x:c r="J5" s="37" t="n">
        <x:f>AVERAGE(G5:I5)</x:f>
        <x:v>1.0115599611405184</x:v>
      </x:c>
      <x:c r="K5" s="37" t="n">
        <x:f>STDEV.S(G5:I5)</x:f>
        <x:v>0.05794230497239521</x:v>
      </x:c>
      <x:c r="L5" s="37" t="n">
        <x:v>0.0192395051073223</x:v>
      </x:c>
      <x:c r="M5" s="37" t="n">
        <x:v>0.0095795597759709</x:v>
      </x:c>
      <x:c r="N5" s="37" t="n">
        <x:v>0.0099628185521467</x:v>
      </x:c>
      <x:c r="O5" s="37" t="n">
        <x:f>AVERAGE(L5:N5)</x:f>
        <x:v>0.012927294478479968</x:v>
      </x:c>
      <x:c r="P5" s="37" t="n">
        <x:f>STDEV.S(L5:N5)</x:f>
        <x:v>0.005469892511698154</x:v>
      </x:c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 s="5"/>
      <x:c r="AG5" s="5"/>
      <x:c r="AH5" s="5"/>
      <x:c r="AI5" s="5"/>
      <x:c r="AJ5" s="5"/>
      <x:c r="AK5" s="5"/>
      <x:c r="AL5" s="5"/>
      <x:c r="AM5" s="5"/>
    </x:row>
    <x:row r="6">
      <x:c r="A6" s="39" t="str">
        <x:v>GCP</x:v>
      </x:c>
      <x:c r="B6" s="37" t="n">
        <x:v>0.2420890074343047</x:v>
      </x:c>
      <x:c r="C6" s="37" t="n">
        <x:v>0.3292798989518716</x:v>
      </x:c>
      <x:c r="D6" s="37" t="n">
        <x:v>0.2686829660839593</x:v>
      </x:c>
      <x:c r="E6" s="37" t="n">
        <x:f>AVERAGE(B6:D6)</x:f>
        <x:v>0.2800172908233785</x:v>
      </x:c>
      <x:c r="F6" s="37" t="n">
        <x:f>STDEV.S(B6:D6)</x:f>
        <x:v>0.04468683339509512</x:v>
      </x:c>
      <x:c r="G6" s="37" t="n">
        <x:v>1.0477806992346226</x:v>
      </x:c>
      <x:c r="H6" s="37" t="n">
        <x:v>0.9097236571354216</x:v>
      </x:c>
      <x:c r="I6" s="37" t="n">
        <x:v>0.9821574525436092</x:v>
      </x:c>
      <x:c r="J6" s="37" t="n">
        <x:f>AVERAGE(G6:I6)</x:f>
        <x:v>0.9798872696378845</x:v>
      </x:c>
      <x:c r="K6" s="37" t="n">
        <x:f>STDEV.S(G6:I6)</x:f>
        <x:v>0.06905651320559288</x:v>
      </x:c>
      <x:c r="L6" s="37" t="n">
        <x:v>0.0263496221192144</x:v>
      </x:c>
      <x:c r="M6" s="37" t="n">
        <x:v>0.0533679898494064</x:v>
      </x:c>
      <x:c r="N6" s="37" t="n">
        <x:v>0.0542053232045787</x:v>
      </x:c>
      <x:c r="O6" s="37" t="n">
        <x:f>AVERAGE(L6:N6)</x:f>
        <x:v>0.04464097839106649</x:v>
      </x:c>
      <x:c r="P6" s="37" t="n">
        <x:f>STDEV.S(L6:N6)</x:f>
        <x:v>0.015846310847790045</x:v>
      </x:c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 s="5"/>
      <x:c r="AG6" s="5"/>
      <x:c r="AH6" s="5"/>
      <x:c r="AI6" s="5"/>
      <x:c r="AJ6" s="5"/>
      <x:c r="AK6" s="5"/>
      <x:c r="AL6" s="5"/>
      <x:c r="AM6" s="5"/>
    </x:row>
    <x:row r="7">
      <x:c r="A7" s="39" t="str">
        <x:v>GDP</x:v>
      </x:c>
      <x:c r="B7" s="37" t="n">
        <x:v>0.2385479433660541</x:v>
      </x:c>
      <x:c r="C7" s="37" t="n">
        <x:v>0.3138688954712452</x:v>
      </x:c>
      <x:c r="D7" s="37" t="n">
        <x:v>0.2674209257539141</x:v>
      </x:c>
      <x:c r="E7" s="37" t="n">
        <x:f>AVERAGE(B7:D7)</x:f>
        <x:v>0.2732792548637378</x:v>
      </x:c>
      <x:c r="F7" s="37" t="n">
        <x:f>STDEV.S(B7:D7)</x:f>
        <x:v>0.038000677250246195</x:v>
      </x:c>
      <x:c r="G7" s="37" t="n">
        <x:v>1.0252279055522038</x:v>
      </x:c>
      <x:c r="H7" s="37" t="n">
        <x:v>0.9208499087892568</x:v>
      </x:c>
      <x:c r="I7" s="37" t="n">
        <x:v>0.9766103438427644</x:v>
      </x:c>
      <x:c r="J7" s="37" t="n">
        <x:f>AVERAGE(G7:I7)</x:f>
        <x:v>0.9742293860614083</x:v>
      </x:c>
      <x:c r="K7" s="37" t="n">
        <x:f>STDEV.S(G7:I7)</x:f>
        <x:v>0.05222971636940884</x:v>
      </x:c>
      <x:c r="L7" s="37" t="n">
        <x:v>0.0404552717870821</x:v>
      </x:c>
      <x:c r="M7" s="37" t="n">
        <x:v>0.0175595190218094</x:v>
      </x:c>
      <x:c r="N7" s="37" t="n">
        <x:v>0.0642576826091425</x:v>
      </x:c>
      <x:c r="O7" s="37" t="n">
        <x:f>AVERAGE(L7:N7)</x:f>
        <x:v>0.04075749113934467</x:v>
      </x:c>
      <x:c r="P7" s="37" t="n">
        <x:f>STDEV.S(L7:N7)</x:f>
        <x:v>0.023350548666144704</x:v>
      </x:c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 s="5"/>
      <x:c r="AG7" s="5"/>
      <x:c r="AH7" s="5"/>
      <x:c r="AI7" s="5"/>
      <x:c r="AJ7" s="5"/>
      <x:c r="AK7" s="5"/>
      <x:c r="AL7" s="5"/>
      <x:c r="AM7" s="5"/>
    </x:row>
    <x:row r="8">
      <x:c r="A8" s="39" t="str">
        <x:v>DQN</x:v>
      </x:c>
      <x:c r="B8" s="37" t="n">
        <x:v>0.4388107108038428</x:v>
      </x:c>
      <x:c r="C8" s="37" t="n">
        <x:v>0.6377117993691129</x:v>
      </x:c>
      <x:c r="D8" s="37" t="n">
        <x:v>0.5784540307874697</x:v>
      </x:c>
      <x:c r="E8" s="37" t="n">
        <x:f>AVERAGE(B8:D8)</x:f>
        <x:v>0.5516588469868084</x:v>
      </x:c>
      <x:c r="F8" s="37" t="n">
        <x:f>STDEV.S(B8:D8)</x:f>
        <x:v>0.10212197199572563</x:v>
      </x:c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 s="5"/>
      <x:c r="AG8" s="5"/>
      <x:c r="AH8" s="5"/>
      <x:c r="AI8" s="5"/>
      <x:c r="AJ8" s="5"/>
      <x:c r="AK8" s="5"/>
      <x:c r="AL8" s="5"/>
      <x:c r="AM8" s="5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 s="5"/>
      <x:c r="AG9" s="5"/>
      <x:c r="AH9" s="5"/>
      <x:c r="AI9" s="5"/>
      <x:c r="AJ9" s="5"/>
      <x:c r="AK9" s="5"/>
      <x:c r="AL9" s="5"/>
      <x:c r="AM9" s="5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 s="5"/>
      <x:c r="AG10" s="5"/>
      <x:c r="AH10" s="5"/>
      <x:c r="AI10" s="5"/>
      <x:c r="AJ10" s="5"/>
      <x:c r="AK10" s="5"/>
      <x:c r="AL10" s="5"/>
      <x:c r="AM10" s="5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 s="5"/>
      <x:c r="AG11" s="5"/>
      <x:c r="AH11" s="5"/>
      <x:c r="AI11" s="5"/>
      <x:c r="AJ11" s="5"/>
      <x:c r="AK11" s="5"/>
      <x:c r="AL11" s="5"/>
      <x:c r="AM11" s="5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 s="5"/>
      <x:c r="AG12" s="5"/>
      <x:c r="AH12" s="5"/>
      <x:c r="AI12" s="5"/>
      <x:c r="AJ12" s="5"/>
      <x:c r="AK12" s="5"/>
      <x:c r="AL12" s="5"/>
      <x:c r="AM12" s="5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 s="5"/>
      <x:c r="AG13" s="5"/>
      <x:c r="AH13" s="5"/>
      <x:c r="AI13" s="5"/>
      <x:c r="AJ13" s="5"/>
      <x:c r="AK13" s="5"/>
      <x:c r="AL13" s="5"/>
      <x:c r="AM13" s="5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 s="5"/>
      <x:c r="AG14" s="5"/>
      <x:c r="AH14" s="5"/>
      <x:c r="AI14" s="5"/>
      <x:c r="AJ14" s="5"/>
      <x:c r="AK14" s="5"/>
      <x:c r="AL14" s="5"/>
      <x:c r="AM14" s="5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 s="5"/>
      <x:c r="AG15" s="5"/>
      <x:c r="AH15" s="5"/>
      <x:c r="AI15" s="5"/>
      <x:c r="AJ15" s="5"/>
      <x:c r="AK15" s="5"/>
      <x:c r="AL15" s="5"/>
      <x:c r="AM15" s="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 s="5"/>
      <x:c r="AG16" s="5"/>
      <x:c r="AH16" s="5"/>
      <x:c r="AI16" s="5"/>
      <x:c r="AJ16" s="5"/>
      <x:c r="AK16" s="5"/>
      <x:c r="AL16" s="5"/>
      <x:c r="AM16" s="5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 s="5"/>
      <x:c r="AG17" s="5"/>
      <x:c r="AH17" s="5"/>
      <x:c r="AI17" s="5"/>
      <x:c r="AJ17" s="5"/>
      <x:c r="AK17" s="5"/>
      <x:c r="AL17" s="5"/>
      <x:c r="AM17" s="5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 s="5"/>
      <x:c r="AG18" s="5"/>
      <x:c r="AH18" s="5"/>
      <x:c r="AI18" s="5"/>
      <x:c r="AJ18" s="5"/>
      <x:c r="AK18" s="5"/>
      <x:c r="AL18" s="5"/>
      <x:c r="AM18" s="5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 s="5"/>
      <x:c r="AG19" s="5"/>
      <x:c r="AH19" s="5"/>
      <x:c r="AI19" s="5"/>
      <x:c r="AJ19" s="5"/>
      <x:c r="AK19" s="5"/>
      <x:c r="AL19" s="5"/>
      <x:c r="AM19" s="5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 s="5"/>
      <x:c r="AG20" s="5"/>
      <x:c r="AH20" s="5"/>
      <x:c r="AI20" s="5"/>
      <x:c r="AJ20" s="5"/>
      <x:c r="AK20" s="5"/>
      <x:c r="AL20" s="5"/>
      <x:c r="AM20" s="5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 s="5"/>
      <x:c r="AG21" s="5"/>
      <x:c r="AH21" s="5"/>
      <x:c r="AI21" s="5"/>
      <x:c r="AJ21" s="5"/>
      <x:c r="AK21" s="5"/>
      <x:c r="AL21" s="5"/>
      <x:c r="AM21" s="5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 s="5"/>
      <x:c r="AG22" s="5"/>
      <x:c r="AH22" s="5"/>
      <x:c r="AI22" s="5"/>
      <x:c r="AJ22" s="5"/>
      <x:c r="AK22" s="5"/>
      <x:c r="AL22" s="5"/>
      <x:c r="AM22" s="5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 s="5"/>
      <x:c r="AG23" s="5"/>
      <x:c r="AH23" s="5"/>
      <x:c r="AI23" s="5"/>
      <x:c r="AJ23" s="5"/>
      <x:c r="AK23" s="5"/>
      <x:c r="AL23" s="5"/>
      <x:c r="AM23" s="5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 s="5"/>
      <x:c r="AG24" s="5"/>
      <x:c r="AH24" s="5"/>
      <x:c r="AI24" s="5"/>
      <x:c r="AJ24" s="5"/>
      <x:c r="AK24" s="5"/>
      <x:c r="AL24" s="5"/>
      <x:c r="AM24" s="5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 s="5"/>
      <x:c r="AG25" s="5"/>
      <x:c r="AH25" s="5"/>
      <x:c r="AI25" s="5"/>
      <x:c r="AJ25" s="5"/>
      <x:c r="AK25" s="5"/>
      <x:c r="AL25" s="5"/>
      <x:c r="AM25" s="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 s="5"/>
      <x:c r="AG26" s="5"/>
      <x:c r="AH26" s="5"/>
      <x:c r="AI26" s="5"/>
      <x:c r="AJ26" s="5"/>
      <x:c r="AK26" s="5"/>
      <x:c r="AL26" s="5"/>
      <x:c r="AM26" s="5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 s="5"/>
      <x:c r="AG27" s="5"/>
      <x:c r="AH27" s="5"/>
      <x:c r="AI27" s="5"/>
      <x:c r="AJ27" s="5"/>
      <x:c r="AK27" s="5"/>
      <x:c r="AL27" s="5"/>
      <x:c r="AM27" s="5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 s="5"/>
      <x:c r="AG28" s="5"/>
      <x:c r="AH28" s="5"/>
      <x:c r="AI28" s="5"/>
      <x:c r="AJ28" s="5"/>
      <x:c r="AK28" s="5"/>
      <x:c r="AL28" s="5"/>
      <x:c r="AM28" s="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 s="5"/>
      <x:c r="AG29" s="5"/>
      <x:c r="AH29" s="5"/>
      <x:c r="AI29" s="5"/>
      <x:c r="AJ29" s="5"/>
      <x:c r="AK29" s="5"/>
      <x:c r="AL29" s="5"/>
      <x:c r="AM29" s="5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 s="5"/>
      <x:c r="AG30" s="5"/>
      <x:c r="AH30" s="5"/>
      <x:c r="AI30" s="5"/>
      <x:c r="AJ30" s="5"/>
      <x:c r="AK30" s="5"/>
      <x:c r="AL30" s="5"/>
      <x:c r="AM30" s="5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 s="5"/>
      <x:c r="AG31" s="5"/>
      <x:c r="AH31" s="5"/>
      <x:c r="AI31" s="5"/>
      <x:c r="AJ31" s="5"/>
      <x:c r="AK31" s="5"/>
      <x:c r="AL31" s="5"/>
      <x:c r="AM31" s="5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 s="5"/>
      <x:c r="AG32" s="5"/>
      <x:c r="AH32" s="5"/>
      <x:c r="AI32" s="5"/>
      <x:c r="AJ32" s="5"/>
      <x:c r="AK32" s="5"/>
      <x:c r="AL32" s="5"/>
      <x:c r="AM32" s="5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 s="5"/>
      <x:c r="AG33" s="5"/>
      <x:c r="AH33" s="5"/>
      <x:c r="AI33" s="5"/>
      <x:c r="AJ33" s="5"/>
      <x:c r="AK33" s="5"/>
      <x:c r="AL33" s="5"/>
      <x:c r="AM33" s="5"/>
    </x:row>
    <x:row r="34"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 s="5"/>
      <x:c r="AG34" s="5"/>
      <x:c r="AH34" s="5"/>
      <x:c r="AI34" s="5"/>
      <x:c r="AJ34" s="5"/>
      <x:c r="AK34" s="5"/>
      <x:c r="AL34" s="5"/>
      <x:c r="AM34" s="5"/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4" hidden="0" customWidth="1"/>
    <x:col min="2" max="2" width="52" hidden="0" customWidth="1"/>
    <x:col min="3" max="3" width="52" hidden="0" customWidth="1"/>
    <x:col min="4" max="4" width="62" hidden="0" customWidth="1"/>
    <x:col min="5" max="5" width="40" hidden="0" customWidth="1"/>
    <x:col min="6" max="6" width="28" hidden="0" customWidth="1"/>
  </x:cols>
  <x:sheetData>
    <x:row r="1" ht="34" customHeight="1">
      <x:c r="A1" s="22" t="str">
        <x:v>Publication Figure Files</x:v>
      </x:c>
      <x:c r="B1" s="22"/>
      <x:c r="C1" s="22"/>
      <x:c r="D1" s="22"/>
      <x:c r="E1" s="22"/>
      <x:c r="F1" s="22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 s="5"/>
      <x:c r="AG1" s="5"/>
      <x:c r="AH1" s="5"/>
      <x:c r="AI1" s="5"/>
      <x:c r="AJ1" s="5"/>
      <x:c r="AK1" s="5"/>
      <x:c r="AL1" s="5"/>
      <x:c r="AM1" s="5"/>
    </x:row>
    <x:row r="2">
      <x:c r="A2" s="25" t="str">
        <x:v>The topology figure uses the Stage-I deployment and service-aware user distribution; the performance figure reports mean +/- SD over seeds 42, 43, and 44.</x:v>
      </x:c>
      <x:c r="B2" s="25"/>
      <x:c r="C2" s="25"/>
      <x:c r="D2" s="25"/>
      <x:c r="E2" s="25"/>
      <x:c r="F2" s="25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 s="5"/>
      <x:c r="AG2" s="5"/>
      <x:c r="AH2" s="5"/>
      <x:c r="AI2" s="5"/>
      <x:c r="AJ2" s="5"/>
      <x:c r="AK2" s="5"/>
      <x:c r="AL2" s="5"/>
      <x:c r="AM2" s="5"/>
    </x:row>
    <x:row r="3"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 s="5"/>
      <x:c r="AG3" s="5"/>
      <x:c r="AH3" s="5"/>
      <x:c r="AI3" s="5"/>
      <x:c r="AJ3" s="5"/>
      <x:c r="AK3" s="5"/>
      <x:c r="AL3" s="5"/>
      <x:c r="AM3" s="5"/>
    </x:row>
    <x:row r="4" ht="28" customHeight="1">
      <x:c r="A4" s="30" t="str">
        <x:v>Figure</x:v>
      </x:c>
      <x:c r="B4" s="30" t="str">
        <x:v>PNG</x:v>
      </x:c>
      <x:c r="C4" s="30" t="str">
        <x:v>PDF</x:v>
      </x:c>
      <x:c r="D4" s="30" t="str">
        <x:v>Contents</x:v>
      </x:c>
      <x:c r="E4" s="30" t="str">
        <x:v>Statistical basis</x:v>
      </x:c>
      <x:c r="F4" s="30" t="str">
        <x:v>Use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 s="5"/>
      <x:c r="AG4" s="5"/>
      <x:c r="AH4" s="5"/>
      <x:c r="AI4" s="5"/>
      <x:c r="AJ4" s="5"/>
      <x:c r="AK4" s="5"/>
      <x:c r="AL4" s="5"/>
      <x:c r="AM4" s="5"/>
    </x:row>
    <x:row r="5" ht="52" customHeight="1">
      <x:c r="A5" s="58" t="str">
        <x:v>Geographical topology</x:v>
      </x:c>
      <x:c r="B5" s="58" t="str">
        <x:v>output/png/reviewer6_generalization_topology.png</x:v>
      </x:c>
      <x:c r="C5" s="58" t="str">
        <x:v>output/pdf/reviewer6_generalization_topology.pdf</x:v>
      </x:c>
      <x:c r="D5" s="58" t="str">
        <x:v>Users, eight service types, candidates, CLS-selected servers, coverage circles, and assignments</x:v>
      </x:c>
      <x:c r="E5" s="58" t="str">
        <x:v>Stage-I result for real_sparse_r04_c40_u130_k10_s1</x:v>
      </x:c>
      <x:c r="F5" s="58" t="str">
        <x:v>Manuscript/response figure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 s="5"/>
      <x:c r="AG5" s="5"/>
      <x:c r="AH5" s="5"/>
      <x:c r="AI5" s="5"/>
      <x:c r="AJ5" s="5"/>
      <x:c r="AK5" s="5"/>
      <x:c r="AL5" s="5"/>
      <x:c r="AM5" s="5"/>
    </x:row>
    <x:row r="6" ht="52" customHeight="1">
      <x:c r="A6" s="59" t="str">
        <x:v>Stage-II Best Q</x:v>
      </x:c>
      <x:c r="B6" s="59" t="str">
        <x:v>output/png/reviewer6_generalization_bestq.png</x:v>
      </x:c>
      <x:c r="C6" s="59" t="str">
        <x:v>output/pdf/reviewer6_generalization_bestq.pdf</x:v>
      </x:c>
      <x:c r="D6" s="59" t="str">
        <x:v>NS-P, PSP, GCP, GDP, and DQN with paper-consistent colors and patterns</x:v>
      </x:c>
      <x:c r="E6" s="59" t="str">
        <x:v>Mean +/- SD over seeds 42, 43, and 44</x:v>
      </x:c>
      <x:c r="F6" s="59" t="str">
        <x:v>Manuscript/response figure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 s="5"/>
      <x:c r="AG6" s="5"/>
      <x:c r="AH6" s="5"/>
      <x:c r="AI6" s="5"/>
      <x:c r="AJ6" s="5"/>
      <x:c r="AK6" s="5"/>
      <x:c r="AL6" s="5"/>
      <x:c r="AM6" s="5"/>
    </x:row>
    <x:row r="7"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 s="5"/>
      <x:c r="AG7" s="5"/>
      <x:c r="AH7" s="5"/>
      <x:c r="AI7" s="5"/>
      <x:c r="AJ7" s="5"/>
      <x:c r="AK7" s="5"/>
      <x:c r="AL7" s="5"/>
      <x:c r="AM7" s="5"/>
    </x:row>
    <x:row r="8"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 s="5"/>
      <x:c r="AG8" s="5"/>
      <x:c r="AH8" s="5"/>
      <x:c r="AI8" s="5"/>
      <x:c r="AJ8" s="5"/>
      <x:c r="AK8" s="5"/>
      <x:c r="AL8" s="5"/>
      <x:c r="AM8" s="5"/>
    </x:row>
    <x:row r="9"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 s="5"/>
      <x:c r="AG9" s="5"/>
      <x:c r="AH9" s="5"/>
      <x:c r="AI9" s="5"/>
      <x:c r="AJ9" s="5"/>
      <x:c r="AK9" s="5"/>
      <x:c r="AL9" s="5"/>
      <x:c r="AM9" s="5"/>
    </x:row>
    <x:row r="10"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 s="5"/>
      <x:c r="AG10" s="5"/>
      <x:c r="AH10" s="5"/>
      <x:c r="AI10" s="5"/>
      <x:c r="AJ10" s="5"/>
      <x:c r="AK10" s="5"/>
      <x:c r="AL10" s="5"/>
      <x:c r="AM10" s="5"/>
    </x:row>
    <x:row r="11"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 s="5"/>
      <x:c r="AG11" s="5"/>
      <x:c r="AH11" s="5"/>
      <x:c r="AI11" s="5"/>
      <x:c r="AJ11" s="5"/>
      <x:c r="AK11" s="5"/>
      <x:c r="AL11" s="5"/>
      <x:c r="AM11" s="5"/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 s="5"/>
      <x:c r="AG12" s="5"/>
      <x:c r="AH12" s="5"/>
      <x:c r="AI12" s="5"/>
      <x:c r="AJ12" s="5"/>
      <x:c r="AK12" s="5"/>
      <x:c r="AL12" s="5"/>
      <x:c r="AM12" s="5"/>
    </x:row>
    <x:row r="13"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 s="5"/>
      <x:c r="AG13" s="5"/>
      <x:c r="AH13" s="5"/>
      <x:c r="AI13" s="5"/>
      <x:c r="AJ13" s="5"/>
      <x:c r="AK13" s="5"/>
      <x:c r="AL13" s="5"/>
      <x:c r="AM13" s="5"/>
    </x:row>
    <x:row r="14"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 s="5"/>
      <x:c r="AG14" s="5"/>
      <x:c r="AH14" s="5"/>
      <x:c r="AI14" s="5"/>
      <x:c r="AJ14" s="5"/>
      <x:c r="AK14" s="5"/>
      <x:c r="AL14" s="5"/>
      <x:c r="AM14" s="5"/>
    </x:row>
    <x:row r="15"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 s="5"/>
      <x:c r="AG15" s="5"/>
      <x:c r="AH15" s="5"/>
      <x:c r="AI15" s="5"/>
      <x:c r="AJ15" s="5"/>
      <x:c r="AK15" s="5"/>
      <x:c r="AL15" s="5"/>
      <x:c r="AM15" s="5"/>
    </x:row>
    <x:row r="16"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 s="5"/>
      <x:c r="AG16" s="5"/>
      <x:c r="AH16" s="5"/>
      <x:c r="AI16" s="5"/>
      <x:c r="AJ16" s="5"/>
      <x:c r="AK16" s="5"/>
      <x:c r="AL16" s="5"/>
      <x:c r="AM16" s="5"/>
    </x:row>
    <x:row r="17"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 s="5"/>
      <x:c r="AG17" s="5"/>
      <x:c r="AH17" s="5"/>
      <x:c r="AI17" s="5"/>
      <x:c r="AJ17" s="5"/>
      <x:c r="AK17" s="5"/>
      <x:c r="AL17" s="5"/>
      <x:c r="AM17" s="5"/>
    </x:row>
    <x:row r="18"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 s="5"/>
      <x:c r="AG18" s="5"/>
      <x:c r="AH18" s="5"/>
      <x:c r="AI18" s="5"/>
      <x:c r="AJ18" s="5"/>
      <x:c r="AK18" s="5"/>
      <x:c r="AL18" s="5"/>
      <x:c r="AM18" s="5"/>
    </x:row>
    <x:row r="19" ht="93"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 s="5"/>
      <x:c r="AG19" s="5"/>
      <x:c r="AH19" s="5"/>
      <x:c r="AI19" s="5"/>
      <x:c r="AJ19" s="5"/>
      <x:c r="AK19" s="5"/>
      <x:c r="AL19" s="5"/>
      <x:c r="AM19" s="5"/>
    </x:row>
  </x:sheetData>
  <x:mergeCells>
    <x:mergeCell ref="A1:F1"/>
    <x:mergeCell ref="A2:F2"/>
  </x:mergeCells>
  <x:pageMargins left="0.7" right="0.7" top="0.75" bottom="0.75" header="0.3" footer="0.3"/>
</x:worksheet>
</file>