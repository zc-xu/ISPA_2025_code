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418f0539745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00c6465fdde4dc4"/>
    <x:sheet xmlns:r="http://schemas.openxmlformats.org/officeDocument/2006/relationships" name="Design" sheetId="2" r:id="Radd01afc25fb4956"/>
    <x:sheet xmlns:r="http://schemas.openxmlformats.org/officeDocument/2006/relationships" name="Stage I" sheetId="3" r:id="Rbd3e3e5e00764d07"/>
    <x:sheet xmlns:r="http://schemas.openxmlformats.org/officeDocument/2006/relationships" name="Stage II Aggregate" sheetId="4" r:id="R5b467357d4af4187"/>
    <x:sheet xmlns:r="http://schemas.openxmlformats.org/officeDocument/2006/relationships" name="Stage II Seeds" sheetId="5" r:id="R414ba5b503de459e"/>
    <x:sheet xmlns:r="http://schemas.openxmlformats.org/officeDocument/2006/relationships" name="DQN Weighted" sheetId="6" r:id="Rd9215b50c1514aac"/>
    <x:sheet xmlns:r="http://schemas.openxmlformats.org/officeDocument/2006/relationships" name="BestQ Seeds" sheetId="7" r:id="R8798d9853ffa49e8"/>
    <x:sheet xmlns:r="http://schemas.openxmlformats.org/officeDocument/2006/relationships" name="BestQ Aggregate" sheetId="8" r:id="R5af7577f4d3245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0"/>
    <x:numFmt numFmtId="202" formatCode="#,##0.0000"/>
    <x:numFmt numFmtId="203" formatCode="0.00"/>
    <x:numFmt numFmtId="204" formatCode="#,##0.0"/>
  </x:numFmts>
  <x:fonts count="9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7"/>
      <x:color rgb="FFFFFFFF"/>
      <x:name val="Carlito"/>
    </x:font>
    <x:font>
      <x:i/>
      <x:sz val="10"/>
      <x:color rgb="FF5B6573"/>
      <x:name val="Carlito"/>
    </x:font>
    <x:font>
      <x:sz val="10"/>
      <x:color rgb="FF1F2937"/>
      <x:name val="Carlito"/>
    </x:font>
    <x:font>
      <x:b/>
      <x:sz val="10"/>
      <x:color rgb="FF1F4E78"/>
      <x:name val="Carlito"/>
    </x:font>
    <x:font>
      <x:b/>
      <x:sz val="10"/>
      <x:color rgb="FF8E111B"/>
      <x:name val="Carlito"/>
    </x:font>
    <x:font>
      <x:b/>
      <x:sz val="10"/>
      <x:color rgb="FF9467B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8FAFC"/>
      </x:patternFill>
    </x:fill>
    <x:fill>
      <x:patternFill patternType="solid">
        <x:fgColor rgb="FFF4F6F8"/>
      </x:patternFill>
    </x:fill>
    <x:fill>
      <x:patternFill patternType="solid">
        <x:fgColor rgb="FFF2EAFE"/>
      </x:patternFill>
    </x:fill>
    <x:fill>
      <x:patternFill patternType="solid">
        <x:fgColor rgb="FFFDECEC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E6EBF0"/>
      </x:bottom>
    </x:border>
    <x:border>
      <x:top style="thin">
        <x:color rgb="FFE6EBF0"/>
      </x:top>
    </x:border>
    <x:border>
      <x:top style="thin">
        <x:color rgb="FFE6EBF0"/>
      </x:top>
      <x:bottom style="thin">
        <x:color rgb="FFE6EBF0"/>
      </x:bottom>
    </x:border>
    <x:border>
      <x:bottom style="thin">
        <x:color rgb="FFD7DEE5"/>
      </x:bottom>
    </x:border>
    <x:border>
      <x:top style="thin">
        <x:color rgb="FFD7DEE5"/>
      </x:top>
      <x:bottom style="thin">
        <x:color rgb="FFD7DEE5"/>
      </x:bottom>
    </x:border>
    <x:border>
      <x:top style="thin">
        <x:color rgb="FFD7DEE5"/>
      </x:top>
    </x:border>
    <x:border>
      <x:top style="thin">
        <x:color rgb="FFC1121F"/>
      </x:top>
    </x:border>
  </x:borders>
  <x:cellStyleXfs count="1">
    <x:xf numFmtId="0" fontId="0" fillId="0" borderId="0"/>
  </x:cellStyleXfs>
  <x:cellXfs count="1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/>
    <x:xf numFmtId="0" fontId="2" fillId="0" borderId="6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5" fillId="0" borderId="0" xfId="0" applyNumberFormat="1" applyFont="1" applyFill="1" applyBorder="1"/>
    <x:xf numFmtId="203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7" xfId="0" applyNumberFormat="1" applyFont="1" applyFill="1" applyBorder="1"/>
    <x:xf numFmtId="203" fontId="5" fillId="0" borderId="7" xfId="0" applyNumberFormat="1" applyFont="1" applyFill="1" applyBorder="1"/>
    <x:xf numFmtId="0" fontId="5" fillId="0" borderId="8" xfId="0" applyNumberFormat="1" applyFont="1" applyFill="1" applyBorder="1"/>
    <x:xf numFmtId="200" fontId="5" fillId="0" borderId="8" xfId="0" applyNumberFormat="1" applyFont="1" applyFill="1" applyBorder="1"/>
    <x:xf numFmtId="201" fontId="5" fillId="0" borderId="8" xfId="0" applyNumberFormat="1" applyFont="1" applyFill="1" applyBorder="1"/>
    <x:xf numFmtId="0" fontId="5" fillId="0" borderId="9" xfId="0" applyNumberFormat="1" applyFont="1" applyFill="1" applyBorder="1"/>
    <x:xf numFmtId="200" fontId="5" fillId="0" borderId="9" xfId="0" applyNumberFormat="1" applyFont="1" applyFill="1" applyBorder="1"/>
    <x:xf numFmtId="0" fontId="5" fillId="0" borderId="7" xfId="0" applyNumberFormat="1" applyFont="1" applyFill="1" applyBorder="1" applyAlignment="1">
      <x:alignment vertical="center"/>
    </x:xf>
    <x:xf numFmtId="203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1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200" fontId="5" fillId="0" borderId="9" xfId="0" applyNumberFormat="1" applyFont="1" applyFill="1" applyBorder="1" applyAlignment="1">
      <x:alignment vertical="center"/>
    </x:xf>
    <x:xf numFmtId="203" fontId="5" fillId="4" borderId="7" xfId="0" applyNumberFormat="1" applyFont="1" applyFill="1" applyBorder="1" applyAlignment="1">
      <x:alignment vertical="center"/>
    </x:xf>
    <x:xf numFmtId="200" fontId="5" fillId="4" borderId="8" xfId="0" applyNumberFormat="1" applyFont="1" applyFill="1" applyBorder="1" applyAlignment="1">
      <x:alignment vertical="center"/>
    </x:xf>
    <x:xf numFmtId="201" fontId="5" fillId="4" borderId="8" xfId="0" applyNumberFormat="1" applyFont="1" applyFill="1" applyBorder="1" applyAlignment="1">
      <x:alignment vertical="center"/>
    </x:xf>
    <x:xf numFmtId="200" fontId="5" fillId="4" borderId="9" xfId="0" applyNumberFormat="1" applyFont="1" applyFill="1" applyBorder="1" applyAlignment="1">
      <x:alignment vertical="center"/>
    </x:xf>
    <x:xf numFmtId="203" fontId="6" fillId="4" borderId="7" xfId="0" applyNumberFormat="1" applyFont="1" applyFill="1" applyBorder="1" applyAlignment="1">
      <x:alignment vertical="center"/>
    </x:xf>
    <x:xf numFmtId="200" fontId="6" fillId="4" borderId="8" xfId="0" applyNumberFormat="1" applyFont="1" applyFill="1" applyBorder="1" applyAlignment="1">
      <x:alignment vertical="center"/>
    </x:xf>
    <x:xf numFmtId="201" fontId="6" fillId="4" borderId="8" xfId="0" applyNumberFormat="1" applyFont="1" applyFill="1" applyBorder="1" applyAlignment="1">
      <x:alignment vertical="center"/>
    </x:xf>
    <x:xf numFmtId="200" fontId="6" fillId="4" borderId="9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7" xfId="0" applyNumberFormat="1" applyFont="1" applyFill="1" applyBorder="1"/>
    <x:xf numFmtId="0" fontId="2" fillId="5" borderId="7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7" xfId="0" applyNumberFormat="1" applyFont="1" applyFill="1" applyBorder="1"/>
    <x:xf numFmtId="0" fontId="2" fillId="6" borderId="7" xfId="0" applyNumberFormat="1" applyFont="1" applyFill="1" applyBorder="1" applyAlignment="1">
      <x:alignment wrapText="1"/>
    </x:xf>
    <x:xf numFmtId="0" fontId="2" fillId="6" borderId="7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1" fontId="5" fillId="0" borderId="7" xfId="0" applyNumberFormat="1" applyFont="1" applyFill="1" applyBorder="1"/>
    <x:xf numFmtId="200" fontId="5" fillId="0" borderId="7" xfId="0" applyNumberFormat="1" applyFont="1" applyFill="1" applyBorder="1"/>
    <x:xf numFmtId="201" fontId="5" fillId="0" borderId="9" xfId="0" applyNumberFormat="1" applyFont="1" applyFill="1" applyBorder="1"/>
    <x:xf numFmtId="0" fontId="5" fillId="7" borderId="9" xfId="0" applyNumberFormat="1" applyFont="1" applyFill="1" applyBorder="1"/>
    <x:xf numFmtId="201" fontId="5" fillId="7" borderId="9" xfId="0" applyNumberFormat="1" applyFont="1" applyFill="1" applyBorder="1"/>
    <x:xf numFmtId="200" fontId="5" fillId="7" borderId="9" xfId="0" applyNumberFormat="1" applyFont="1" applyFill="1" applyBorder="1"/>
    <x:xf numFmtId="0" fontId="7" fillId="7" borderId="9" xfId="0" applyNumberFormat="1" applyFont="1" applyFill="1" applyBorder="1"/>
    <x:xf numFmtId="201" fontId="7" fillId="7" borderId="9" xfId="0" applyNumberFormat="1" applyFont="1" applyFill="1" applyBorder="1"/>
    <x:xf numFmtId="200" fontId="7" fillId="7" borderId="9" xfId="0" applyNumberFormat="1" applyFont="1" applyFill="1" applyBorder="1"/>
    <x:xf numFmtId="0" fontId="7" fillId="7" borderId="10" xfId="0" applyNumberFormat="1" applyFont="1" applyFill="1" applyBorder="1"/>
    <x:xf numFmtId="201" fontId="7" fillId="7" borderId="10" xfId="0" applyNumberFormat="1" applyFont="1" applyFill="1" applyBorder="1"/>
    <x:xf numFmtId="200" fontId="7" fillId="7" borderId="10" xfId="0" applyNumberFormat="1" applyFont="1" applyFill="1" applyBorder="1"/>
    <x:xf numFmtId="0" fontId="5" fillId="7" borderId="8" xfId="0" applyNumberFormat="1" applyFont="1" applyFill="1" applyBorder="1"/>
    <x:xf numFmtId="201" fontId="5" fillId="7" borderId="8" xfId="0" applyNumberFormat="1" applyFont="1" applyFill="1" applyBorder="1"/>
    <x:xf numFmtId="200" fontId="5" fillId="7" borderId="8" xfId="0" applyNumberFormat="1" applyFont="1" applyFill="1" applyBorder="1"/>
    <x:xf numFmtId="0" fontId="7" fillId="7" borderId="8" xfId="0" applyNumberFormat="1" applyFont="1" applyFill="1" applyBorder="1"/>
    <x:xf numFmtId="201" fontId="7" fillId="7" borderId="8" xfId="0" applyNumberFormat="1" applyFont="1" applyFill="1" applyBorder="1"/>
    <x:xf numFmtId="200" fontId="7" fillId="7" borderId="8" xfId="0" applyNumberFormat="1" applyFont="1" applyFill="1" applyBorder="1"/>
    <x:xf numFmtId="0" fontId="5" fillId="6" borderId="9" xfId="0" applyNumberFormat="1" applyFont="1" applyFill="1" applyBorder="1"/>
    <x:xf numFmtId="201" fontId="5" fillId="6" borderId="9" xfId="0" applyNumberFormat="1" applyFont="1" applyFill="1" applyBorder="1"/>
    <x:xf numFmtId="200" fontId="5" fillId="6" borderId="9" xfId="0" applyNumberFormat="1" applyFont="1" applyFill="1" applyBorder="1"/>
    <x:xf numFmtId="0" fontId="8" fillId="6" borderId="9" xfId="0" applyNumberFormat="1" applyFont="1" applyFill="1" applyBorder="1"/>
    <x:xf numFmtId="201" fontId="8" fillId="6" borderId="9" xfId="0" applyNumberFormat="1" applyFont="1" applyFill="1" applyBorder="1"/>
    <x:xf numFmtId="200" fontId="8" fillId="6" borderId="9" xfId="0" applyNumberFormat="1" applyFont="1" applyFill="1" applyBorder="1"/>
    <x:xf numFmtId="0" fontId="2" fillId="5" borderId="4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4" xfId="0" applyNumberFormat="1" applyFont="1" applyFill="1" applyBorder="1"/>
    <x:xf numFmtId="0" fontId="2" fillId="8" borderId="4" xfId="0" applyNumberFormat="1" applyFont="1" applyFill="1" applyBorder="1" applyAlignment="1">
      <x:alignment wrapText="1"/>
    </x:xf>
    <x:xf numFmtId="0" fontId="2" fillId="8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999261de940ea" /><Relationship Type="http://schemas.openxmlformats.org/officeDocument/2006/relationships/theme" Target="/xl/theme/theme1.xml" Id="Rfbef997416804307" /><Relationship Type="http://schemas.openxmlformats.org/officeDocument/2006/relationships/sharedStrings" Target="/xl/sharedStrings.xml" Id="R4f2af94e185644c1" /><Relationship Type="http://schemas.openxmlformats.org/officeDocument/2006/relationships/worksheet" Target="/xl/worksheets/sheet1.xml" Id="R700c6465fdde4dc4" /><Relationship Type="http://schemas.openxmlformats.org/officeDocument/2006/relationships/worksheet" Target="/xl/worksheets/sheet2.xml" Id="Radd01afc25fb4956" /><Relationship Type="http://schemas.openxmlformats.org/officeDocument/2006/relationships/worksheet" Target="/xl/worksheets/sheet3.xml" Id="Rbd3e3e5e00764d07" /><Relationship Type="http://schemas.openxmlformats.org/officeDocument/2006/relationships/worksheet" Target="/xl/worksheets/sheet4.xml" Id="R5b467357d4af4187" /><Relationship Type="http://schemas.openxmlformats.org/officeDocument/2006/relationships/worksheet" Target="/xl/worksheets/sheet5.xml" Id="R414ba5b503de459e" /><Relationship Type="http://schemas.openxmlformats.org/officeDocument/2006/relationships/worksheet" Target="/xl/worksheets/sheet6.xml" Id="Rd9215b50c1514aac" /><Relationship Type="http://schemas.openxmlformats.org/officeDocument/2006/relationships/worksheet" Target="/xl/worksheets/sheet7.xml" Id="R8798d9853ffa49e8" /><Relationship Type="http://schemas.openxmlformats.org/officeDocument/2006/relationships/worksheet" Target="/xl/worksheets/sheet8.xml" Id="R5af7577f4d3245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838dc3dd4f46b2" /><Relationship Type="http://schemas.openxmlformats.org/officeDocument/2006/relationships/chart" Target="/xl/drawings/charts/chart2.xml" Id="R26ee58b546704b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Stage I coverage/access objective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Best non-CLS</c:v>
          </c:tx>
          <c:spPr>
            <a:solidFill xmlns:a="http://schemas.openxmlformats.org/drawingml/2006/main">
              <a:srgbClr val="5B6573"/>
            </a:solidFill>
          </c:spPr>
          <c:cat>
            <c:strRef>
              <c:f>'Overview'!$G$5</c:f>
              <c:strCache>
                <c:ptCount val="0"/>
              </c:strCache>
            </c:strRef>
          </c:cat>
          <c:val>
            <c:numRef>
              <c:f>'Overview'!$H$5</c:f>
              <c:numCache>
                <c:formatCode>#,##0.0</c:formatCode>
                <c:ptCount val="0"/>
              </c:numCache>
            </c:numRef>
          </c:val>
        </c:ser>
        <c:ser>
          <c:idx val="1"/>
          <c:order val="1"/>
          <c:tx>
            <c:v>CLS</c:v>
          </c:tx>
          <c:spPr>
            <a:solidFill xmlns:a="http://schemas.openxmlformats.org/drawingml/2006/main">
              <a:srgbClr val="C1121F"/>
            </a:solidFill>
          </c:spPr>
          <c:cat>
            <c:strRef>
              <c:f>'Overview'!$G$5</c:f>
              <c:strCache>
                <c:ptCount val="0"/>
              </c:strCache>
            </c:strRef>
          </c:cat>
          <c:val>
            <c:numRef>
              <c:f>'Overview'!$I$5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Stage II mean Best Q (lower is better)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NS-P</c:v>
          </c:tx>
          <c:spPr>
            <a:solidFill xmlns:a="http://schemas.openxmlformats.org/drawingml/2006/main">
              <a:srgbClr val="4C78A8"/>
            </a:solidFill>
          </c:spPr>
          <c:cat>
            <c:strRef>
              <c:f>'Overview'!$G$21</c:f>
              <c:strCache>
                <c:ptCount val="0"/>
              </c:strCache>
            </c:strRef>
          </c:cat>
          <c:val>
            <c:numRef>
              <c:f>'Overview'!$H$21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GCP</c:v>
          </c:tx>
          <c:spPr>
            <a:solidFill xmlns:a="http://schemas.openxmlformats.org/drawingml/2006/main">
              <a:srgbClr val="59A14F"/>
            </a:solidFill>
          </c:spPr>
          <c:cat>
            <c:strRef>
              <c:f>'Overview'!$G$21</c:f>
              <c:strCache>
                <c:ptCount val="0"/>
              </c:strCache>
            </c:strRef>
          </c:cat>
          <c:val>
            <c:numRef>
              <c:f>'Overview'!$I$21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GDP</c:v>
          </c:tx>
          <c:spPr>
            <a:solidFill xmlns:a="http://schemas.openxmlformats.org/drawingml/2006/main">
              <a:srgbClr val="F28E2B"/>
            </a:solidFill>
          </c:spPr>
          <c:cat>
            <c:strRef>
              <c:f>'Overview'!$G$21</c:f>
              <c:strCache>
                <c:ptCount val="0"/>
              </c:strCache>
            </c:strRef>
          </c:cat>
          <c:val>
            <c:numRef>
              <c:f>'Overview'!$J$21</c:f>
              <c:numCache>
                <c:formatCode>0.0000</c:formatCode>
                <c:ptCount val="0"/>
              </c:numCache>
            </c:numRef>
          </c:val>
        </c:ser>
        <c:ser>
          <c:idx val="3"/>
          <c:order val="3"/>
          <c:tx>
            <c:v>PSP</c:v>
          </c:tx>
          <c:spPr>
            <a:solidFill xmlns:a="http://schemas.openxmlformats.org/drawingml/2006/main">
              <a:srgbClr val="C1121F"/>
            </a:solidFill>
          </c:spPr>
          <c:cat>
            <c:strRef>
              <c:f>'Overview'!$G$21</c:f>
              <c:strCache>
                <c:ptCount val="0"/>
              </c:strCache>
            </c:strRef>
          </c:cat>
          <c:val>
            <c:numRef>
              <c:f>'Overview'!$K$21</c:f>
              <c:numCache>
                <c:formatCode>0.0000</c:formatCode>
                <c:ptCount val="0"/>
              </c:numCache>
            </c:numRef>
          </c:val>
        </c:ser>
        <c:ser>
          <c:idx val="4"/>
          <c:order val="4"/>
          <c:tx>
            <c:v>DQN</c:v>
          </c:tx>
          <c:spPr>
            <a:solidFill xmlns:a="http://schemas.openxmlformats.org/drawingml/2006/main">
              <a:srgbClr val="9467BD"/>
            </a:solidFill>
          </c:spPr>
          <c:cat>
            <c:strRef>
              <c:f>'Overview'!$G$21</c:f>
              <c:strCache>
                <c:ptCount val="0"/>
              </c:strCache>
            </c:strRef>
          </c:cat>
          <c:val>
            <c:numRef>
              <c:f>'Overview'!$L$21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6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838dc3dd4f46b2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ee58b546704b1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signTable" displayName="DesignTable" ref="A1:U3" headerRowCount="1" totalsRowCount="0" totalsRowShown="0">
  <x:tableColumns count="21">
    <x:tableColumn id="1" name="Dataset"/>
    <x:tableColumn id="2" name="SourceType"/>
    <x:tableColumn id="3" name="Candidates"/>
    <x:tableColumn id="4" name="Users"/>
    <x:tableColumn id="5" name="SelectedServers"/>
    <x:tableColumn id="6" name="CenterLng"/>
    <x:tableColumn id="7" name="CenterLat"/>
    <x:tableColumn id="8" name="CenterDistanceFromOriginalKm"/>
    <x:tableColumn id="9" name="CandidateWidthKm"/>
    <x:tableColumn id="10" name="CandidateHeightKm"/>
    <x:tableColumn id="11" name="UserWidthKm"/>
    <x:tableColumn id="12" name="UserHeightKm"/>
    <x:tableColumn id="13" name="UserBBoxAreaKm2"/>
    <x:tableColumn id="14" name="AreaScaleVsOriginal"/>
    <x:tableColumn id="15" name="StationNNMeanKm"/>
    <x:tableColumn id="16" name="UserNNMeanKm"/>
    <x:tableColumn id="17" name="CoverageDensityMean"/>
    <x:tableColumn id="18" name="CoverageDensityCV"/>
    <x:tableColumn id="19" name="ServiceTypes"/>
    <x:tableColumn id="20" name="SelectedSolution"/>
    <x:tableColumn id="21" name="DataFi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geITable" displayName="StageITable" ref="A1:S2" headerRowCount="1" totalsRowCount="0" totalsRowShown="0">
  <x:tableColumns count="19">
    <x:tableColumn id="1" name="Config"/>
    <x:tableColumn id="2" name="DataFile"/>
    <x:tableColumn id="3" name="Users"/>
    <x:tableColumn id="4" name="Candidates"/>
    <x:tableColumn id="5" name="TargetServers"/>
    <x:tableColumn id="6" name="ResolvedK"/>
    <x:tableColumn id="7" name="SigmaMin"/>
    <x:tableColumn id="8" name="N2Adjust"/>
    <x:tableColumn id="9" name="N2Raw"/>
    <x:tableColumn id="10" name="CLSCost"/>
    <x:tableColumn id="11" name="RandomMeanCost"/>
    <x:tableColumn id="12" name="RandomBestCost"/>
    <x:tableColumn id="13" name="DensityCost"/>
    <x:tableColumn id="14" name="DistSumCost"/>
    <x:tableColumn id="15" name="GreedyCost"/>
    <x:tableColumn id="16" name="DiverseInitCost"/>
    <x:tableColumn id="17" name="BestBaselineCost"/>
    <x:tableColumn id="18" name="CLSAdvantagePct"/>
    <x:tableColumn id="19" name="SelectedSolu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geIIAggregateTable" displayName="StageIIAggregateTable" ref="A1:I5" headerRowCount="1" totalsRowCount="0" totalsRowShown="0">
  <x:tableColumns count="9">
    <x:tableColumn id="1" name="Scenario"/>
    <x:tableColumn id="2" name="Method"/>
    <x:tableColumn id="3" name="Seeds"/>
    <x:tableColumn id="4" name="HVMean"/>
    <x:tableColumn id="5" name="HVStd"/>
    <x:tableColumn id="6" name="IGDMean"/>
    <x:tableColumn id="7" name="IGDStd"/>
    <x:tableColumn id="8" name="BestQMean"/>
    <x:tableColumn id="9" name="BestQSt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geIISeedTable" displayName="StageIISeedTable" ref="A1:G13" headerRowCount="1" totalsRowCount="0" totalsRowShown="0">
  <x:tableColumns count="7">
    <x:tableColumn id="1" name="Scenario"/>
    <x:tableColumn id="2" name="Seed"/>
    <x:tableColumn id="3" name="Config"/>
    <x:tableColumn id="4" name="Method"/>
    <x:tableColumn id="5" name="HV"/>
    <x:tableColumn id="6" name="IGD"/>
    <x:tableColumn id="7" name="BestQ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QNWeightedTable" displayName="DQNWeightedTable" ref="A1:M16" headerRowCount="1" totalsRowCount="0" totalsRowShown="0">
  <x:tableColumns count="13">
    <x:tableColumn id="1" name="Config"/>
    <x:tableColumn id="2" name="Weight"/>
    <x:tableColumn id="3" name="Seed"/>
    <x:tableColumn id="4" name="BestEpisode"/>
    <x:tableColumn id="5" name="Cost"/>
    <x:tableColumn id="6" name="Delay"/>
    <x:tableColumn id="7" name="ScalarQReferenceBounds"/>
    <x:tableColumn id="8" name="EvaluationAlpha"/>
    <x:tableColumn id="9" name="EvaluationBestQ"/>
    <x:tableColumn id="10" name="ReferenceLowerCost"/>
    <x:tableColumn id="11" name="ReferenceLowerDelay"/>
    <x:tableColumn id="12" name="ReferenceUpperCost"/>
    <x:tableColumn id="13" name="ReferenceUpperDela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estQSeedTable" displayName="BestQSeedTable" ref="A1:C16" headerRowCount="1" totalsRowCount="0" totalsRowShown="0">
  <x:tableColumns count="3">
    <x:tableColumn id="1" name="Seed"/>
    <x:tableColumn id="2" name="Method"/>
    <x:tableColumn id="3" name="BestQ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estQAggregateTable" displayName="BestQAggregateTable" ref="A1:D6" headerRowCount="1" totalsRowCount="0" totalsRowShown="0">
  <x:tableColumns count="4">
    <x:tableColumn id="1" name="Method"/>
    <x:tableColumn id="2" name="Seeds"/>
    <x:tableColumn id="3" name="BestQMean"/>
    <x:tableColumn id="4" name="BestQSt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8d82ac7d9114e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eb8ab7f87948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b32d41210249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fff5972f2847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e67c85e93541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d67f45591d4e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ea5a63300e4b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771442d6814c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6" customHeight="1">
      <x:c r="A1" s="41" t="str">
        <x:v>Reviewer Comment 6: Geographical Generalization Evidence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</x:row>
    <x:row r="2" ht="26" customHeight="1">
      <x:c r="A2" s="44" t="str">
        <x:v>A geographically distinct real-station instance evaluated end to end with Stage I, Stage II, and the DQN learning baseline.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</x:row>
    <x:row r="4" ht="34" customHeight="1">
      <x:c r="A4" s="12" t="str">
        <x:v>Evidence item</x:v>
      </x:c>
      <x:c r="B4" s="14" t="str">
        <x:v>Value</x:v>
      </x:c>
      <x:c r="C4" s="12" t="str">
        <x:v>Verified conclusion</x:v>
      </x:c>
      <x:c r="D4" s="13"/>
      <x:c r="E4" s="13"/>
      <x:c r="F4" s="14"/>
      <x:c r="G4" s="12" t="str">
        <x:v>Instance</x:v>
      </x:c>
      <x:c r="H4" s="13" t="str">
        <x:v>Best non-CLS</x:v>
      </x:c>
      <x:c r="I4" s="14" t="str">
        <x:v>CLS</x:v>
      </x:c>
    </x:row>
    <x:row r="5" ht="42" customHeight="1">
      <x:c r="A5" s="59" t="str">
        <x:v>New-region centroid shift (km)</x:v>
      </x:c>
      <x:c r="B5" s="70" t="n">
        <x:f>'Design'!H3</x:f>
        <x:v>24.204440176574913</x:v>
      </x:c>
      <x:c r="C5" s="78" t="str">
        <x:v>The new real-station topology is 24.20 km from the original Xizhimen centroid and doubles the candidate count from 20 to 40.</x:v>
      </x:c>
      <x:c r="D5" s="78"/>
      <x:c r="E5" s="78"/>
      <x:c r="F5" s="78"/>
      <x:c r="G5" t="str">
        <x:f>"New region"</x:f>
        <x:v>New region</x:v>
      </x:c>
      <x:c r="H5" s="84" t="n">
        <x:f>'Stage I'!Q2</x:f>
        <x:v>6150.574075411073</x:v>
      </x:c>
      <x:c r="I5" s="84" t="n">
        <x:f>'Stage I'!J2</x:f>
        <x:v>2304.7669645477567</x:v>
      </x:c>
    </x:row>
    <x:row r="6" ht="42" customHeight="1">
      <x:c r="A6" s="61" t="str">
        <x:v>Candidate stations in new instance</x:v>
      </x:c>
      <x:c r="B6" s="71" t="n">
        <x:f>'Design'!C3</x:f>
        <x:v>40</x:v>
      </x:c>
      <x:c r="C6" s="78" t="str">
        <x:v>CLS reduces the best recorded non-CLS Stage I objective from 6,150.5741 to 2,304.7670, a reduction of 62.53%.</x:v>
      </x:c>
      <x:c r="D6" s="78"/>
      <x:c r="E6" s="78"/>
      <x:c r="F6" s="78"/>
    </x:row>
    <x:row r="7" ht="42" customHeight="1">
      <x:c r="A7" s="61" t="str">
        <x:v>Candidate-station scale vs. original (x)</x:v>
      </x:c>
      <x:c r="B7" s="72" t="n">
        <x:f>'Design'!C3/'Design'!C2</x:f>
        <x:v>2</x:v>
      </x:c>
      <x:c r="C7" s="78" t="str">
        <x:v>Across seeds 42, 43, and 44, PSP has the best mean HV, IGD, and Best Q among the four population methods.</x:v>
      </x:c>
      <x:c r="D7" s="78"/>
      <x:c r="E7" s="78"/>
      <x:c r="F7" s="78"/>
    </x:row>
    <x:row r="8" ht="42" customHeight="1">
      <x:c r="A8" s="61" t="str">
        <x:v>New-region coverage-density CV</x:v>
      </x:c>
      <x:c r="B8" s="72" t="n">
        <x:f>'Design'!R3</x:f>
        <x:v>0.33594923772755814</x:v>
      </x:c>
      <x:c r="C8" s="83" t="str">
        <x:v>Under the common equal-weight evaluation, PSP Best Q is 0.2678 and DQN Best Q is 0.5517.</x:v>
      </x:c>
      <x:c r="D8" s="83"/>
      <x:c r="E8" s="83"/>
      <x:c r="F8" s="83"/>
    </x:row>
    <x:row r="9">
      <x:c r="A9" s="61" t="str">
        <x:v>Stage I CLS objective reduction (%)</x:v>
      </x:c>
      <x:c r="B9" s="72" t="n">
        <x:f>'Stage I'!R2</x:f>
        <x:v>62.52761227993636</x:v>
      </x:c>
    </x:row>
    <x:row r="10">
      <x:c r="A10" s="64" t="str">
        <x:v>Stage II random seeds</x:v>
      </x:c>
      <x:c r="B10" s="73" t="n">
        <x:f>'Stage II Aggregate'!C2</x:f>
        <x:v>3</x:v>
      </x:c>
    </x:row>
    <x:row r="13" ht="34" customHeight="1">
      <x:c r="A13" s="12" t="str">
        <x:v>Method</x:v>
      </x:c>
      <x:c r="B13" s="13" t="str">
        <x:v>HV mean</x:v>
      </x:c>
      <x:c r="C13" s="13" t="str">
        <x:v>HV std</x:v>
      </x:c>
      <x:c r="D13" s="13" t="str">
        <x:v>IGD mean</x:v>
      </x:c>
      <x:c r="E13" s="13" t="str">
        <x:v>IGD std</x:v>
      </x:c>
      <x:c r="F13" s="13" t="str">
        <x:v>Best Q mean</x:v>
      </x:c>
      <x:c r="G13" s="13" t="str">
        <x:v>Best Q std</x:v>
      </x:c>
      <x:c r="H13" s="14" t="str">
        <x:v>Seeds</x:v>
      </x:c>
    </x:row>
    <x:row r="14">
      <x:c r="A14" s="52" t="str">
        <x:f>'Stage II Aggregate'!B2</x:f>
        <x:v>NS-P</x:v>
      </x:c>
      <x:c r="B14" s="85" t="n">
        <x:f>'Stage II Aggregate'!D2</x:f>
        <x:v>0.9574027814187405</x:v>
      </x:c>
      <x:c r="C14" s="85" t="n">
        <x:f>'Stage II Aggregate'!E2</x:f>
        <x:v>0.08397737047305208</x:v>
      </x:c>
      <x:c r="D14" s="85" t="n">
        <x:f>'Stage II Aggregate'!F2</x:f>
        <x:v>0.04983864352716144</x:v>
      </x:c>
      <x:c r="E14" s="85" t="n">
        <x:f>'Stage II Aggregate'!G2</x:f>
        <x:v>0.03278510791937491</x:v>
      </x:c>
      <x:c r="F14" s="85" t="n">
        <x:f>'Stage II Aggregate'!H2</x:f>
        <x:v>0.29527171101966104</x:v>
      </x:c>
      <x:c r="G14" s="85" t="n">
        <x:f>'Stage II Aggregate'!I2</x:f>
        <x:v>0.058427769807437954</x:v>
      </x:c>
      <x:c r="H14" s="86" t="n">
        <x:f>'Stage II Aggregate'!C2</x:f>
        <x:v>3</x:v>
      </x:c>
    </x:row>
    <x:row r="15">
      <x:c r="A15" s="54" t="str">
        <x:f>'Stage II Aggregate'!B3</x:f>
        <x:v>GCP</x:v>
      </x:c>
      <x:c r="B15" s="56" t="n">
        <x:f>'Stage II Aggregate'!D3</x:f>
        <x:v>0.9798872696378845</x:v>
      </x:c>
      <x:c r="C15" s="56" t="n">
        <x:f>'Stage II Aggregate'!E3</x:f>
        <x:v>0.06905651320559288</x:v>
      </x:c>
      <x:c r="D15" s="56" t="n">
        <x:f>'Stage II Aggregate'!F3</x:f>
        <x:v>0.04464097839106649</x:v>
      </x:c>
      <x:c r="E15" s="56" t="n">
        <x:f>'Stage II Aggregate'!G3</x:f>
        <x:v>0.015846310847790045</x:v>
      </x:c>
      <x:c r="F15" s="56" t="n">
        <x:f>'Stage II Aggregate'!H3</x:f>
        <x:v>0.2800172908233785</x:v>
      </x:c>
      <x:c r="G15" s="56" t="n">
        <x:f>'Stage II Aggregate'!I3</x:f>
        <x:v>0.04468683339509512</x:v>
      </x:c>
      <x:c r="H15" s="55" t="n">
        <x:f>'Stage II Aggregate'!C3</x:f>
        <x:v>3</x:v>
      </x:c>
    </x:row>
    <x:row r="16">
      <x:c r="A16" s="54" t="str">
        <x:f>'Stage II Aggregate'!B4</x:f>
        <x:v>GDP</x:v>
      </x:c>
      <x:c r="B16" s="56" t="n">
        <x:f>'Stage II Aggregate'!D4</x:f>
        <x:v>0.9742293860614083</x:v>
      </x:c>
      <x:c r="C16" s="56" t="n">
        <x:f>'Stage II Aggregate'!E4</x:f>
        <x:v>0.05222971636940884</x:v>
      </x:c>
      <x:c r="D16" s="56" t="n">
        <x:f>'Stage II Aggregate'!F4</x:f>
        <x:v>0.04075749113934467</x:v>
      </x:c>
      <x:c r="E16" s="56" t="n">
        <x:f>'Stage II Aggregate'!G4</x:f>
        <x:v>0.023350548666144704</x:v>
      </x:c>
      <x:c r="F16" s="56" t="n">
        <x:f>'Stage II Aggregate'!H4</x:f>
        <x:v>0.2732792548637378</x:v>
      </x:c>
      <x:c r="G16" s="56" t="n">
        <x:f>'Stage II Aggregate'!I4</x:f>
        <x:v>0.038000677250246195</x:v>
      </x:c>
      <x:c r="H16" s="55" t="n">
        <x:f>'Stage II Aggregate'!C4</x:f>
        <x:v>3</x:v>
      </x:c>
    </x:row>
    <x:row r="17">
      <x:c r="A17" s="94" t="str">
        <x:f>'Stage II Aggregate'!B5</x:f>
        <x:v>PSP</x:v>
      </x:c>
      <x:c r="B17" s="95" t="n">
        <x:f>'Stage II Aggregate'!D5</x:f>
        <x:v>1.0115599611405184</x:v>
      </x:c>
      <x:c r="C17" s="95" t="n">
        <x:f>'Stage II Aggregate'!E5</x:f>
        <x:v>0.05794230497239521</x:v>
      </x:c>
      <x:c r="D17" s="95" t="n">
        <x:f>'Stage II Aggregate'!F5</x:f>
        <x:v>0.012927294478479968</x:v>
      </x:c>
      <x:c r="E17" s="95" t="n">
        <x:f>'Stage II Aggregate'!G5</x:f>
        <x:v>0.005469892511698154</x:v>
      </x:c>
      <x:c r="F17" s="95" t="n">
        <x:f>'Stage II Aggregate'!H5</x:f>
        <x:v>0.2678392228703066</x:v>
      </x:c>
      <x:c r="G17" s="95" t="n">
        <x:f>'Stage II Aggregate'!I5</x:f>
        <x:v>0.05028459484732145</x:v>
      </x:c>
      <x:c r="H17" s="96" t="n">
        <x:f>'Stage II Aggregate'!C5</x:f>
        <x:v>3</x:v>
      </x:c>
    </x:row>
    <x:row r="20" ht="34" customHeight="1">
      <x:c r="A20" s="12" t="str">
        <x:v>Method</x:v>
      </x:c>
      <x:c r="B20" s="13" t="str">
        <x:v>Best Q mean</x:v>
      </x:c>
      <x:c r="C20" s="13" t="str">
        <x:v>Best Q std</x:v>
      </x:c>
      <x:c r="D20" s="14" t="str">
        <x:v>Seeds</x:v>
      </x:c>
      <x:c r="G20" s="12" t="str">
        <x:v>Metric</x:v>
      </x:c>
      <x:c r="H20" s="13" t="str">
        <x:v>NS-P</x:v>
      </x:c>
      <x:c r="I20" s="13" t="str">
        <x:v>GCP</x:v>
      </x:c>
      <x:c r="J20" s="13" t="str">
        <x:v>GDP</x:v>
      </x:c>
      <x:c r="K20" s="13" t="str">
        <x:v>PSP</x:v>
      </x:c>
      <x:c r="L20" s="14" t="str">
        <x:v>DQN</x:v>
      </x:c>
    </x:row>
    <x:row r="21">
      <x:c r="A21" s="52" t="str">
        <x:f>'BestQ Aggregate'!A2</x:f>
        <x:v>NS-P</x:v>
      </x:c>
      <x:c r="B21" s="85" t="n">
        <x:f>'BestQ Aggregate'!C2</x:f>
        <x:v>0.29527171101966104</x:v>
      </x:c>
      <x:c r="C21" s="85" t="n">
        <x:f>'BestQ Aggregate'!D2</x:f>
        <x:v>0.058427769807437954</x:v>
      </x:c>
      <x:c r="D21" s="86" t="n">
        <x:f>'BestQ Aggregate'!B2</x:f>
        <x:v>3</x:v>
      </x:c>
      <x:c r="G21" t="str">
        <x:f>"Best Q"</x:f>
        <x:v>Best Q</x:v>
      </x:c>
      <x:c r="H21" s="47" t="n">
        <x:f>'BestQ Aggregate'!C2</x:f>
        <x:v>0.29527171101966104</x:v>
      </x:c>
      <x:c r="I21" s="47" t="n">
        <x:f>'BestQ Aggregate'!C3</x:f>
        <x:v>0.2800172908233785</x:v>
      </x:c>
      <x:c r="J21" s="47" t="n">
        <x:f>'BestQ Aggregate'!C4</x:f>
        <x:v>0.2732792548637378</x:v>
      </x:c>
      <x:c r="K21" s="47" t="n">
        <x:f>'BestQ Aggregate'!C5</x:f>
        <x:v>0.2678392228703066</x:v>
      </x:c>
      <x:c r="L21" s="47" t="n">
        <x:f>'BestQ Aggregate'!C6</x:f>
        <x:v>0.5516588469868084</x:v>
      </x:c>
    </x:row>
    <x:row r="22">
      <x:c r="A22" s="54" t="str">
        <x:f>'BestQ Aggregate'!A3</x:f>
        <x:v>GCP</x:v>
      </x:c>
      <x:c r="B22" s="56" t="n">
        <x:f>'BestQ Aggregate'!C3</x:f>
        <x:v>0.2800172908233785</x:v>
      </x:c>
      <x:c r="C22" s="56" t="n">
        <x:f>'BestQ Aggregate'!D3</x:f>
        <x:v>0.04468683339509512</x:v>
      </x:c>
      <x:c r="D22" s="55" t="n">
        <x:f>'BestQ Aggregate'!B3</x:f>
        <x:v>3</x:v>
      </x:c>
    </x:row>
    <x:row r="23">
      <x:c r="A23" s="54" t="str">
        <x:f>'BestQ Aggregate'!A4</x:f>
        <x:v>GDP</x:v>
      </x:c>
      <x:c r="B23" s="56" t="n">
        <x:f>'BestQ Aggregate'!C4</x:f>
        <x:v>0.2732792548637378</x:v>
      </x:c>
      <x:c r="C23" s="56" t="n">
        <x:f>'BestQ Aggregate'!D4</x:f>
        <x:v>0.038000677250246195</x:v>
      </x:c>
      <x:c r="D23" s="55" t="n">
        <x:f>'BestQ Aggregate'!B4</x:f>
        <x:v>3</x:v>
      </x:c>
    </x:row>
    <x:row r="24">
      <x:c r="A24" s="100" t="str">
        <x:f>'BestQ Aggregate'!A5</x:f>
        <x:v>PSP</x:v>
      </x:c>
      <x:c r="B24" s="101" t="n">
        <x:f>'BestQ Aggregate'!C5</x:f>
        <x:v>0.2678392228703066</x:v>
      </x:c>
      <x:c r="C24" s="101" t="n">
        <x:f>'BestQ Aggregate'!D5</x:f>
        <x:v>0.05028459484732145</x:v>
      </x:c>
      <x:c r="D24" s="102" t="n">
        <x:f>'BestQ Aggregate'!B5</x:f>
        <x:v>3</x:v>
      </x:c>
    </x:row>
    <x:row r="25">
      <x:c r="A25" s="106" t="str">
        <x:f>'BestQ Aggregate'!A6</x:f>
        <x:v>DQN</x:v>
      </x:c>
      <x:c r="B25" s="107" t="n">
        <x:f>'BestQ Aggregate'!C6</x:f>
        <x:v>0.5516588469868084</x:v>
      </x:c>
      <x:c r="C25" s="107" t="n">
        <x:f>'BestQ Aggregate'!D6</x:f>
        <x:v>0.10212197199572563</x:v>
      </x:c>
      <x:c r="D25" s="108" t="n">
        <x:f>'BestQ Aggregate'!B6</x:f>
        <x:v>3</x:v>
      </x:c>
    </x:row>
    <x:row r="28" ht="34" customHeight="1">
      <x:c r="A28" s="12" t="str">
        <x:v>Metric directions and interpretation</x:v>
      </x:c>
      <x:c r="B28" s="13"/>
      <x:c r="C28" s="13"/>
      <x:c r="D28" s="13"/>
      <x:c r="E28" s="13"/>
      <x:c r="F28" s="14"/>
    </x:row>
    <x:row r="29" ht="30" customHeight="1">
      <x:c r="A29" s="111" t="str">
        <x:v>HV: higher is better; it measures the objective-space volume dominated by the obtained Pareto set.</x:v>
      </x:c>
      <x:c r="B29" s="111"/>
      <x:c r="C29" s="111"/>
      <x:c r="D29" s="111"/>
      <x:c r="E29" s="111"/>
      <x:c r="F29" s="111"/>
    </x:row>
    <x:row r="30" ht="30" customHeight="1">
      <x:c r="A30" s="116" t="str">
        <x:v>IGD: lower is better; it measures the average distance from a common reference front to the obtained Pareto set.</x:v>
      </x:c>
      <x:c r="B30" s="116"/>
      <x:c r="C30" s="116"/>
      <x:c r="D30" s="116"/>
      <x:c r="E30" s="116"/>
      <x:c r="F30" s="116"/>
    </x:row>
    <x:row r="31" ht="30" customHeight="1">
      <x:c r="A31" s="111" t="str">
        <x:v>Best Q: lower is better; every method uses the same per-seed bounds and Q = 0.5 x normalized cost + 0.5 x normalized delay.</x:v>
      </x:c>
      <x:c r="B31" s="111"/>
      <x:c r="C31" s="111"/>
      <x:c r="D31" s="111"/>
      <x:c r="E31" s="111"/>
      <x:c r="F31" s="111"/>
    </x:row>
    <x:row r="32" ht="30" customHeight="1">
      <x:c r="A32" s="116" t="str">
        <x:v>All aggregate values report mean and sample standard deviation over seeds 42, 43, and 44.</x:v>
      </x:c>
      <x:c r="B32" s="116"/>
      <x:c r="C32" s="116"/>
      <x:c r="D32" s="116"/>
      <x:c r="E32" s="116"/>
      <x:c r="F32" s="116"/>
    </x:row>
  </x:sheetData>
  <x:mergeCells>
    <x:mergeCell ref="A1:N1"/>
    <x:mergeCell ref="A2:N2"/>
    <x:mergeCell ref="C4:F4"/>
    <x:mergeCell ref="C5:F5"/>
    <x:mergeCell ref="C6:F6"/>
    <x:mergeCell ref="C7:F7"/>
    <x:mergeCell ref="C8:F8"/>
    <x:mergeCell ref="A28:F28"/>
    <x:mergeCell ref="A29:F29"/>
    <x:mergeCell ref="A30:F30"/>
    <x:mergeCell ref="A31:F31"/>
    <x:mergeCell ref="A32:F32"/>
  </x:mergeCells>
  <x:pageMargins left="0.7" right="0.7" top="0.75" bottom="0.75" header="0.3" footer="0.3"/>
  <x:drawing xmlns:r="http://schemas.openxmlformats.org/officeDocument/2006/relationships" r:id="Rc8d82ac7d9114ef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34" hidden="0" customWidth="1"/>
    <x:col min="21" max="21" width="68" hidden="0" customWidth="1"/>
  </x:cols>
  <x:sheetData>
    <x:row r="1" ht="34" customHeight="1">
      <x:c r="A1" s="12" t="str">
        <x:v>Dataset</x:v>
      </x:c>
      <x:c r="B1" s="13" t="str">
        <x:v>SourceType</x:v>
      </x:c>
      <x:c r="C1" s="13" t="str">
        <x:v>Candidates</x:v>
      </x:c>
      <x:c r="D1" s="13" t="str">
        <x:v>Users</x:v>
      </x:c>
      <x:c r="E1" s="13" t="str">
        <x:v>SelectedServers</x:v>
      </x:c>
      <x:c r="F1" s="13" t="str">
        <x:v>CenterLng</x:v>
      </x:c>
      <x:c r="G1" s="13" t="str">
        <x:v>CenterLat</x:v>
      </x:c>
      <x:c r="H1" s="13" t="str">
        <x:v>CenterDistanceFromOriginalKm</x:v>
      </x:c>
      <x:c r="I1" s="13" t="str">
        <x:v>CandidateWidthKm</x:v>
      </x:c>
      <x:c r="J1" s="13" t="str">
        <x:v>CandidateHeightKm</x:v>
      </x:c>
      <x:c r="K1" s="13" t="str">
        <x:v>UserWidthKm</x:v>
      </x:c>
      <x:c r="L1" s="13" t="str">
        <x:v>UserHeightKm</x:v>
      </x:c>
      <x:c r="M1" s="13" t="str">
        <x:v>UserBBoxAreaKm2</x:v>
      </x:c>
      <x:c r="N1" s="13" t="str">
        <x:v>AreaScaleVsOriginal</x:v>
      </x:c>
      <x:c r="O1" s="13" t="str">
        <x:v>StationNNMeanKm</x:v>
      </x:c>
      <x:c r="P1" s="13" t="str">
        <x:v>UserNNMeanKm</x:v>
      </x:c>
      <x:c r="Q1" s="13" t="str">
        <x:v>CoverageDensityMean</x:v>
      </x:c>
      <x:c r="R1" s="13" t="str">
        <x:v>CoverageDensityCV</x:v>
      </x:c>
      <x:c r="S1" s="13" t="str">
        <x:v>ServiceTypes</x:v>
      </x:c>
      <x:c r="T1" s="13" t="str">
        <x:v>SelectedSolution</x:v>
      </x:c>
      <x:c r="U1" s="14" t="str">
        <x:v>DataFile</x:v>
      </x:c>
    </x:row>
    <x:row r="2">
      <x:c r="A2" s="18" t="str">
        <x:v>Original urban (Xizhimen)</x:v>
      </x:c>
      <x:c r="B2" s="18" t="str">
        <x:v>Original measured experiment data</x:v>
      </x:c>
      <x:c r="C2" s="20" t="n">
        <x:v>20</x:v>
      </x:c>
      <x:c r="D2" s="20" t="n">
        <x:v>130</x:v>
      </x:c>
      <x:c r="E2" s="20" t="n">
        <x:v>10</x:v>
      </x:c>
      <x:c r="F2" s="22" t="n">
        <x:v>116.347997085</x:v>
      </x:c>
      <x:c r="G2" s="22" t="n">
        <x:v>39.967660789499995</x:v>
      </x:c>
      <x:c r="H2" s="22" t="n">
        <x:v>0</x:v>
      </x:c>
      <x:c r="I2" s="22" t="n">
        <x:v>5.592226072123354</x:v>
      </x:c>
      <x:c r="J2" s="22" t="n">
        <x:v>6.878507042739674</x:v>
      </x:c>
      <x:c r="K2" s="22" t="n">
        <x:v>6.669625982426875</x:v>
      </x:c>
      <x:c r="L2" s="22" t="n">
        <x:v>8.593221767540241</x:v>
      </x:c>
      <x:c r="M2" s="22" t="n">
        <x:v>57.31357517354259</x:v>
      </x:c>
      <x:c r="N2" s="22" t="n">
        <x:v>1</x:v>
      </x:c>
      <x:c r="O2" s="22" t="n">
        <x:v>0.9450754085753704</x:v>
      </x:c>
      <x:c r="P2" s="22" t="n">
        <x:v>0.33946558311186587</x:v>
      </x:c>
      <x:c r="Q2" s="22" t="n">
        <x:v>15.9</x:v>
      </x:c>
      <x:c r="R2" s="22" t="n">
        <x:v>0.23355276261166216</x:v>
      </x:c>
      <x:c r="S2" s="20" t="n">
        <x:v>8</x:v>
      </x:c>
      <x:c r="T2" s="24" t="str">
        <x:v>8 2 1 10 17 4 6 7 12 15</x:v>
      </x:c>
      <x:c r="U2" s="24" t="str">
        <x:v>data/input_data_10_130_8_new.xlsx</x:v>
      </x:c>
    </x:row>
    <x:row r="3">
      <x:c r="A3" s="19" t="str">
        <x:v>Alternate real region</x:v>
      </x:c>
      <x:c r="B3" s="19" t="str">
        <x:v>Real stations + reproducible sparse traffic</x:v>
      </x:c>
      <x:c r="C3" s="21" t="n">
        <x:v>40</x:v>
      </x:c>
      <x:c r="D3" s="21" t="n">
        <x:v>130</x:v>
      </x:c>
      <x:c r="E3" s="21" t="n">
        <x:v>10</x:v>
      </x:c>
      <x:c r="F3" s="23" t="n">
        <x:v>116.11692386575001</x:v>
      </x:c>
      <x:c r="G3" s="23" t="n">
        <x:v>40.0944595605</x:v>
      </x:c>
      <x:c r="H3" s="23" t="n">
        <x:v>24.204440176574913</x:v>
      </x:c>
      <x:c r="I3" s="23" t="n">
        <x:v>5.435993337317006</x:v>
      </x:c>
      <x:c r="J3" s="23" t="n">
        <x:v>5.568993302327531</x:v>
      </x:c>
      <x:c r="K3" s="23" t="n">
        <x:v>6.700879580558766</x:v>
      </x:c>
      <x:c r="L3" s="23" t="n">
        <x:v>8.700121930631722</x:v>
      </x:c>
      <x:c r="M3" s="23" t="n">
        <x:v>58.29846939334161</x:v>
      </x:c>
      <x:c r="N3" s="23" t="n">
        <x:v>1.0171843095953588</x:v>
      </x:c>
      <x:c r="O3" s="23" t="n">
        <x:v>0.40379519713895584</x:v>
      </x:c>
      <x:c r="P3" s="23" t="n">
        <x:v>0.3348048563851351</x:v>
      </x:c>
      <x:c r="Q3" s="23" t="n">
        <x:v>26.15</x:v>
      </x:c>
      <x:c r="R3" s="23" t="n">
        <x:v>0.33594923772755814</x:v>
      </x:c>
      <x:c r="S3" s="21" t="n">
        <x:v>8</x:v>
      </x:c>
      <x:c r="T3" s="25" t="str">
        <x:v>0 2 8 16 19 29 35 37 38 39</x:v>
      </x:c>
      <x:c r="U3" s="25" t="str">
        <x:v>data/real_region/input_data_real_sparse_r04_c40_u130_k10_s1_8.xlsx</x:v>
      </x:c>
    </x:row>
  </x:sheetData>
  <x:pageMargins left="0.7" right="0.7" top="0.75" bottom="0.75" header="0.3" footer="0.3"/>
  <x:tableParts count="1">
    <x:tablePart xmlns:r="http://schemas.openxmlformats.org/officeDocument/2006/relationships" r:id="R89eb8ab7f87948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6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34" hidden="0" customWidth="1"/>
  </x:cols>
  <x:sheetData>
    <x:row r="1" ht="34" customHeight="1">
      <x:c r="A1" s="12" t="str">
        <x:v>Config</x:v>
      </x:c>
      <x:c r="B1" s="13" t="str">
        <x:v>DataFile</x:v>
      </x:c>
      <x:c r="C1" s="13" t="str">
        <x:v>Users</x:v>
      </x:c>
      <x:c r="D1" s="13" t="str">
        <x:v>Candidates</x:v>
      </x:c>
      <x:c r="E1" s="13" t="str">
        <x:v>TargetServers</x:v>
      </x:c>
      <x:c r="F1" s="13" t="str">
        <x:v>ResolvedK</x:v>
      </x:c>
      <x:c r="G1" s="13" t="str">
        <x:v>SigmaMin</x:v>
      </x:c>
      <x:c r="H1" s="13" t="str">
        <x:v>N2Adjust</x:v>
      </x:c>
      <x:c r="I1" s="13" t="str">
        <x:v>N2Raw</x:v>
      </x:c>
      <x:c r="J1" s="13" t="str">
        <x:v>CLSCost</x:v>
      </x:c>
      <x:c r="K1" s="13" t="str">
        <x:v>RandomMeanCost</x:v>
      </x:c>
      <x:c r="L1" s="13" t="str">
        <x:v>RandomBestCost</x:v>
      </x:c>
      <x:c r="M1" s="13" t="str">
        <x:v>DensityCost</x:v>
      </x:c>
      <x:c r="N1" s="13" t="str">
        <x:v>DistSumCost</x:v>
      </x:c>
      <x:c r="O1" s="13" t="str">
        <x:v>GreedyCost</x:v>
      </x:c>
      <x:c r="P1" s="13" t="str">
        <x:v>DiverseInitCost</x:v>
      </x:c>
      <x:c r="Q1" s="13" t="str">
        <x:v>BestBaselineCost</x:v>
      </x:c>
      <x:c r="R1" s="13" t="str">
        <x:v>CLSAdvantagePct</x:v>
      </x:c>
      <x:c r="S1" s="14" t="str">
        <x:v>SelectedSolution</x:v>
      </x:c>
    </x:row>
    <x:row r="2">
      <x:c r="A2" s="26" t="str">
        <x:v>real_sparse_r04_c40_u130_k10_s1</x:v>
      </x:c>
      <x:c r="B2" s="31" t="str">
        <x:v>data\real_region\input_data_real_sparse_r04_c40_u130_k10_s1_8.xlsx</x:v>
      </x:c>
      <x:c r="C2" s="27" t="n">
        <x:v>130</x:v>
      </x:c>
      <x:c r="D2" s="27" t="n">
        <x:v>40</x:v>
      </x:c>
      <x:c r="E2" s="27" t="n">
        <x:v>10</x:v>
      </x:c>
      <x:c r="F2" s="27" t="n">
        <x:v>10</x:v>
      </x:c>
      <x:c r="G2" s="27" t="n">
        <x:v>33</x:v>
      </x:c>
      <x:c r="H2" s="27" t="n">
        <x:v>1</x:v>
      </x:c>
      <x:c r="I2" s="26" t="n">
        <x:v>9</x:v>
      </x:c>
      <x:c r="J2" s="28" t="n">
        <x:v>2304.7669645477567</x:v>
      </x:c>
      <x:c r="K2" s="28" t="n">
        <x:v>13540.517511777573</x:v>
      </x:c>
      <x:c r="L2" s="28" t="n">
        <x:v>6150.574075411073</x:v>
      </x:c>
      <x:c r="M2" s="29" t="n">
        <x:v>22206.475065897397</x:v>
      </x:c>
      <x:c r="N2" s="28" t="n">
        <x:v>28513.33967960432</x:v>
      </x:c>
      <x:c r="O2" s="28" t="n">
        <x:v>28513.33967960432</x:v>
      </x:c>
      <x:c r="P2" s="28" t="n">
        <x:v>19031.79594268241</x:v>
      </x:c>
      <x:c r="Q2" s="28" t="n">
        <x:v>6150.574075411073</x:v>
      </x:c>
      <x:c r="R2" s="30" t="n">
        <x:v>62.52761227993636</x:v>
      </x:c>
      <x:c r="S2" s="31" t="str">
        <x:v>0 2 8 16 19 29 35 37 38 39</x:v>
      </x:c>
    </x:row>
  </x:sheetData>
  <x:pageMargins left="0.7" right="0.7" top="0.75" bottom="0.75" header="0.3" footer="0.3"/>
  <x:tableParts count="1">
    <x:tablePart xmlns:r="http://schemas.openxmlformats.org/officeDocument/2006/relationships" r:id="R8db32d41210249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34" customHeight="1">
      <x:c r="A1" s="12" t="str">
        <x:v>Scenario</x:v>
      </x:c>
      <x:c r="B1" s="13" t="str">
        <x:v>Method</x:v>
      </x:c>
      <x:c r="C1" s="13" t="str">
        <x:v>Seeds</x:v>
      </x:c>
      <x:c r="D1" s="13" t="str">
        <x:v>HVMean</x:v>
      </x:c>
      <x:c r="E1" s="13" t="str">
        <x:v>HVStd</x:v>
      </x:c>
      <x:c r="F1" s="13" t="str">
        <x:v>IGDMean</x:v>
      </x:c>
      <x:c r="G1" s="13" t="str">
        <x:v>IGDStd</x:v>
      </x:c>
      <x:c r="H1" s="13" t="str">
        <x:v>BestQMean</x:v>
      </x:c>
      <x:c r="I1" s="14" t="str">
        <x:v>BestQStd</x:v>
      </x:c>
    </x:row>
    <x:row r="2">
      <x:c r="A2" s="18" t="str">
        <x:v>alternate_sparse</x:v>
      </x:c>
      <x:c r="B2" s="18" t="str">
        <x:v>NS-P</x:v>
      </x:c>
      <x:c r="C2" s="20" t="n">
        <x:v>3</x:v>
      </x:c>
      <x:c r="D2" s="22" t="n">
        <x:v>0.9574027814187405</x:v>
      </x:c>
      <x:c r="E2" s="22" t="n">
        <x:v>0.08397737047305208</x:v>
      </x:c>
      <x:c r="F2" s="22" t="n">
        <x:v>0.04983864352716144</x:v>
      </x:c>
      <x:c r="G2" s="22" t="n">
        <x:v>0.03278510791937491</x:v>
      </x:c>
      <x:c r="H2" s="22" t="n">
        <x:v>0.29527171101966104</x:v>
      </x:c>
      <x:c r="I2" s="22" t="n">
        <x:v>0.058427769807437954</x:v>
      </x:c>
    </x:row>
    <x:row r="3">
      <x:c r="A3" s="33" t="str">
        <x:v>alternate_sparse</x:v>
      </x:c>
      <x:c r="B3" s="33" t="str">
        <x:v>GCP</x:v>
      </x:c>
      <x:c r="C3" s="34" t="n">
        <x:v>3</x:v>
      </x:c>
      <x:c r="D3" s="35" t="n">
        <x:v>0.9798872696378845</x:v>
      </x:c>
      <x:c r="E3" s="35" t="n">
        <x:v>0.06905651320559288</x:v>
      </x:c>
      <x:c r="F3" s="35" t="n">
        <x:v>0.04464097839106649</x:v>
      </x:c>
      <x:c r="G3" s="35" t="n">
        <x:v>0.015846310847790045</x:v>
      </x:c>
      <x:c r="H3" s="35" t="n">
        <x:v>0.2800172908233785</x:v>
      </x:c>
      <x:c r="I3" s="35" t="n">
        <x:v>0.04468683339509512</x:v>
      </x:c>
    </x:row>
    <x:row r="4">
      <x:c r="A4" s="33" t="str">
        <x:v>alternate_sparse</x:v>
      </x:c>
      <x:c r="B4" s="33" t="str">
        <x:v>GDP</x:v>
      </x:c>
      <x:c r="C4" s="34" t="n">
        <x:v>3</x:v>
      </x:c>
      <x:c r="D4" s="35" t="n">
        <x:v>0.9742293860614083</x:v>
      </x:c>
      <x:c r="E4" s="35" t="n">
        <x:v>0.05222971636940884</x:v>
      </x:c>
      <x:c r="F4" s="35" t="n">
        <x:v>0.04075749113934467</x:v>
      </x:c>
      <x:c r="G4" s="35" t="n">
        <x:v>0.023350548666144704</x:v>
      </x:c>
      <x:c r="H4" s="35" t="n">
        <x:v>0.2732792548637378</x:v>
      </x:c>
      <x:c r="I4" s="35" t="n">
        <x:v>0.038000677250246195</x:v>
      </x:c>
    </x:row>
    <x:row r="5">
      <x:c r="A5" s="19" t="str">
        <x:v>alternate_sparse</x:v>
      </x:c>
      <x:c r="B5" s="19" t="str">
        <x:v>PSP</x:v>
      </x:c>
      <x:c r="C5" s="21" t="n">
        <x:v>3</x:v>
      </x:c>
      <x:c r="D5" s="23" t="n">
        <x:v>1.0115599611405184</x:v>
      </x:c>
      <x:c r="E5" s="23" t="n">
        <x:v>0.05794230497239521</x:v>
      </x:c>
      <x:c r="F5" s="23" t="n">
        <x:v>0.012927294478479968</x:v>
      </x:c>
      <x:c r="G5" s="23" t="n">
        <x:v>0.005469892511698154</x:v>
      </x:c>
      <x:c r="H5" s="23" t="n">
        <x:v>0.2678392228703066</x:v>
      </x:c>
      <x:c r="I5" s="23" t="n">
        <x:v>0.05028459484732145</x:v>
      </x:c>
    </x:row>
  </x:sheetData>
  <x:pageMargins left="0.7" right="0.7" top="0.75" bottom="0.75" header="0.3" footer="0.3"/>
  <x:tableParts count="1">
    <x:tablePart xmlns:r="http://schemas.openxmlformats.org/officeDocument/2006/relationships" r:id="Rfafff5972f2847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58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34" customHeight="1">
      <x:c r="A1" s="12" t="str">
        <x:v>Scenario</x:v>
      </x:c>
      <x:c r="B1" s="13" t="str">
        <x:v>Seed</x:v>
      </x:c>
      <x:c r="C1" s="13" t="str">
        <x:v>Config</x:v>
      </x:c>
      <x:c r="D1" s="13" t="str">
        <x:v>Method</x:v>
      </x:c>
      <x:c r="E1" s="13" t="str">
        <x:v>HV</x:v>
      </x:c>
      <x:c r="F1" s="13" t="str">
        <x:v>IGD</x:v>
      </x:c>
      <x:c r="G1" s="14" t="str">
        <x:v>BestQ</x:v>
      </x:c>
    </x:row>
    <x:row r="2">
      <x:c r="A2" s="18" t="str">
        <x:v>alternate_sparse</x:v>
      </x:c>
      <x:c r="B2" s="20" t="n">
        <x:v>42</x:v>
      </x:c>
      <x:c r="C2" s="18" t="str">
        <x:v>real_sparse_r04_c40_u130_k10_s1</x:v>
      </x:c>
      <x:c r="D2" s="18" t="str">
        <x:v>NS-P</x:v>
      </x:c>
      <x:c r="E2" s="22" t="n">
        <x:v>1.048108089751652</x:v>
      </x:c>
      <x:c r="F2" s="22" t="n">
        <x:v>0.0192667766346104</x:v>
      </x:c>
      <x:c r="G2" s="22" t="n">
        <x:v>0.2343728546376079</x:v>
      </x:c>
    </x:row>
    <x:row r="3">
      <x:c r="A3" s="33" t="str">
        <x:v>alternate_sparse</x:v>
      </x:c>
      <x:c r="B3" s="34" t="n">
        <x:v>42</x:v>
      </x:c>
      <x:c r="C3" s="33" t="str">
        <x:v>real_sparse_r04_c40_u130_k10_s1</x:v>
      </x:c>
      <x:c r="D3" s="33" t="str">
        <x:v>GCP</x:v>
      </x:c>
      <x:c r="E3" s="35" t="n">
        <x:v>1.0477806992346226</x:v>
      </x:c>
      <x:c r="F3" s="35" t="n">
        <x:v>0.0263496221192144</x:v>
      </x:c>
      <x:c r="G3" s="35" t="n">
        <x:v>0.2420890074343047</x:v>
      </x:c>
    </x:row>
    <x:row r="4">
      <x:c r="A4" s="33" t="str">
        <x:v>alternate_sparse</x:v>
      </x:c>
      <x:c r="B4" s="34" t="n">
        <x:v>42</x:v>
      </x:c>
      <x:c r="C4" s="33" t="str">
        <x:v>real_sparse_r04_c40_u130_k10_s1</x:v>
      </x:c>
      <x:c r="D4" s="33" t="str">
        <x:v>GDP</x:v>
      </x:c>
      <x:c r="E4" s="35" t="n">
        <x:v>1.0252279055522038</x:v>
      </x:c>
      <x:c r="F4" s="35" t="n">
        <x:v>0.0404552717870821</x:v>
      </x:c>
      <x:c r="G4" s="35" t="n">
        <x:v>0.2385479433660541</x:v>
      </x:c>
    </x:row>
    <x:row r="5">
      <x:c r="A5" s="33" t="str">
        <x:v>alternate_sparse</x:v>
      </x:c>
      <x:c r="B5" s="34" t="n">
        <x:v>42</x:v>
      </x:c>
      <x:c r="C5" s="33" t="str">
        <x:v>real_sparse_r04_c40_u130_k10_s1</x:v>
      </x:c>
      <x:c r="D5" s="33" t="str">
        <x:v>PSP</x:v>
      </x:c>
      <x:c r="E5" s="35" t="n">
        <x:v>1.0490168248300376</x:v>
      </x:c>
      <x:c r="F5" s="35" t="n">
        <x:v>0.0192395051073223</x:v>
      </x:c>
      <x:c r="G5" s="35" t="n">
        <x:v>0.2273324743696142</x:v>
      </x:c>
    </x:row>
    <x:row r="6">
      <x:c r="A6" s="33" t="str">
        <x:v>alternate_sparse</x:v>
      </x:c>
      <x:c r="B6" s="34" t="n">
        <x:v>43</x:v>
      </x:c>
      <x:c r="C6" s="33" t="str">
        <x:v>real_sparse_r04_c40_u130_k10_s1</x:v>
      </x:c>
      <x:c r="D6" s="33" t="str">
        <x:v>NS-P</x:v>
      </x:c>
      <x:c r="E6" s="35" t="n">
        <x:v>0.8823582254650661</x:v>
      </x:c>
      <x:c r="F6" s="35" t="n">
        <x:v>0.0457884962611218</x:v>
      </x:c>
      <x:c r="G6" s="35" t="n">
        <x:v>0.350866740281044</x:v>
      </x:c>
    </x:row>
    <x:row r="7">
      <x:c r="A7" s="33" t="str">
        <x:v>alternate_sparse</x:v>
      </x:c>
      <x:c r="B7" s="34" t="n">
        <x:v>43</x:v>
      </x:c>
      <x:c r="C7" s="33" t="str">
        <x:v>real_sparse_r04_c40_u130_k10_s1</x:v>
      </x:c>
      <x:c r="D7" s="33" t="str">
        <x:v>GCP</x:v>
      </x:c>
      <x:c r="E7" s="35" t="n">
        <x:v>0.9097236571354216</x:v>
      </x:c>
      <x:c r="F7" s="35" t="n">
        <x:v>0.0533679898494064</x:v>
      </x:c>
      <x:c r="G7" s="35" t="n">
        <x:v>0.3292798989518716</x:v>
      </x:c>
    </x:row>
    <x:row r="8">
      <x:c r="A8" s="33" t="str">
        <x:v>alternate_sparse</x:v>
      </x:c>
      <x:c r="B8" s="34" t="n">
        <x:v>43</x:v>
      </x:c>
      <x:c r="C8" s="33" t="str">
        <x:v>real_sparse_r04_c40_u130_k10_s1</x:v>
      </x:c>
      <x:c r="D8" s="33" t="str">
        <x:v>GDP</x:v>
      </x:c>
      <x:c r="E8" s="35" t="n">
        <x:v>0.9208499087892568</x:v>
      </x:c>
      <x:c r="F8" s="35" t="n">
        <x:v>0.0175595190218094</x:v>
      </x:c>
      <x:c r="G8" s="35" t="n">
        <x:v>0.3138688954712452</x:v>
      </x:c>
    </x:row>
    <x:row r="9">
      <x:c r="A9" s="33" t="str">
        <x:v>alternate_sparse</x:v>
      </x:c>
      <x:c r="B9" s="34" t="n">
        <x:v>43</x:v>
      </x:c>
      <x:c r="C9" s="33" t="str">
        <x:v>real_sparse_r04_c40_u130_k10_s1</x:v>
      </x:c>
      <x:c r="D9" s="33" t="str">
        <x:v>PSP</x:v>
      </x:c>
      <x:c r="E9" s="35" t="n">
        <x:v>0.9448206115017544</x:v>
      </x:c>
      <x:c r="F9" s="35" t="n">
        <x:v>0.0095795597759709</x:v>
      </x:c>
      <x:c r="G9" s="35" t="n">
        <x:v>0.3241195727553839</x:v>
      </x:c>
    </x:row>
    <x:row r="10">
      <x:c r="A10" s="33" t="str">
        <x:v>alternate_sparse</x:v>
      </x:c>
      <x:c r="B10" s="34" t="n">
        <x:v>44</x:v>
      </x:c>
      <x:c r="C10" s="33" t="str">
        <x:v>real_sparse_r04_c40_u130_k10_s1</x:v>
      </x:c>
      <x:c r="D10" s="33" t="str">
        <x:v>NS-P</x:v>
      </x:c>
      <x:c r="E10" s="35" t="n">
        <x:v>0.9417420290395032</x:v>
      </x:c>
      <x:c r="F10" s="35" t="n">
        <x:v>0.0844606576857521</x:v>
      </x:c>
      <x:c r="G10" s="35" t="n">
        <x:v>0.3005755381403313</x:v>
      </x:c>
    </x:row>
    <x:row r="11">
      <x:c r="A11" s="33" t="str">
        <x:v>alternate_sparse</x:v>
      </x:c>
      <x:c r="B11" s="34" t="n">
        <x:v>44</x:v>
      </x:c>
      <x:c r="C11" s="33" t="str">
        <x:v>real_sparse_r04_c40_u130_k10_s1</x:v>
      </x:c>
      <x:c r="D11" s="33" t="str">
        <x:v>GCP</x:v>
      </x:c>
      <x:c r="E11" s="35" t="n">
        <x:v>0.9821574525436092</x:v>
      </x:c>
      <x:c r="F11" s="35" t="n">
        <x:v>0.0542053232045787</x:v>
      </x:c>
      <x:c r="G11" s="35" t="n">
        <x:v>0.2686829660839593</x:v>
      </x:c>
    </x:row>
    <x:row r="12">
      <x:c r="A12" s="33" t="str">
        <x:v>alternate_sparse</x:v>
      </x:c>
      <x:c r="B12" s="34" t="n">
        <x:v>44</x:v>
      </x:c>
      <x:c r="C12" s="33" t="str">
        <x:v>real_sparse_r04_c40_u130_k10_s1</x:v>
      </x:c>
      <x:c r="D12" s="33" t="str">
        <x:v>GDP</x:v>
      </x:c>
      <x:c r="E12" s="35" t="n">
        <x:v>0.9766103438427644</x:v>
      </x:c>
      <x:c r="F12" s="35" t="n">
        <x:v>0.0642576826091425</x:v>
      </x:c>
      <x:c r="G12" s="35" t="n">
        <x:v>0.2674209257539141</x:v>
      </x:c>
    </x:row>
    <x:row r="13">
      <x:c r="A13" s="19" t="str">
        <x:v>alternate_sparse</x:v>
      </x:c>
      <x:c r="B13" s="21" t="n">
        <x:v>44</x:v>
      </x:c>
      <x:c r="C13" s="19" t="str">
        <x:v>real_sparse_r04_c40_u130_k10_s1</x:v>
      </x:c>
      <x:c r="D13" s="19" t="str">
        <x:v>PSP</x:v>
      </x:c>
      <x:c r="E13" s="23" t="n">
        <x:v>1.040842447089763</x:v>
      </x:c>
      <x:c r="F13" s="23" t="n">
        <x:v>0.0099628185521467</x:v>
      </x:c>
      <x:c r="G13" s="23" t="n">
        <x:v>0.2520656214859217</x:v>
      </x:c>
    </x:row>
  </x:sheetData>
  <x:pageMargins left="0.7" right="0.7" top="0.75" bottom="0.75" header="0.3" footer="0.3"/>
  <x:tableParts count="1">
    <x:tablePart xmlns:r="http://schemas.openxmlformats.org/officeDocument/2006/relationships" r:id="R73e67c85e93541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34" customHeight="1">
      <x:c r="A1" s="12" t="str">
        <x:v>Config</x:v>
      </x:c>
      <x:c r="B1" s="13" t="str">
        <x:v>Weight</x:v>
      </x:c>
      <x:c r="C1" s="13" t="str">
        <x:v>Seed</x:v>
      </x:c>
      <x:c r="D1" s="13" t="str">
        <x:v>BestEpisode</x:v>
      </x:c>
      <x:c r="E1" s="13" t="str">
        <x:v>Cost</x:v>
      </x:c>
      <x:c r="F1" s="13" t="str">
        <x:v>Delay</x:v>
      </x:c>
      <x:c r="G1" s="13" t="str">
        <x:v>ScalarQReferenceBounds</x:v>
      </x:c>
      <x:c r="H1" s="13" t="str">
        <x:v>EvaluationAlpha</x:v>
      </x:c>
      <x:c r="I1" s="13" t="str">
        <x:v>EvaluationBestQ</x:v>
      </x:c>
      <x:c r="J1" s="13" t="str">
        <x:v>ReferenceLowerCost</x:v>
      </x:c>
      <x:c r="K1" s="13" t="str">
        <x:v>ReferenceLowerDelay</x:v>
      </x:c>
      <x:c r="L1" s="13" t="str">
        <x:v>ReferenceUpperCost</x:v>
      </x:c>
      <x:c r="M1" s="14" t="str">
        <x:v>ReferenceUpperDelay</x:v>
      </x:c>
    </x:row>
    <x:row r="2">
      <x:c r="A2" s="18" t="str">
        <x:v>real_sparse_r04_c40_u130_k10_s1</x:v>
      </x:c>
      <x:c r="B2" s="18" t="n">
        <x:v>0.1</x:v>
      </x:c>
      <x:c r="C2" s="20" t="n">
        <x:v>42</x:v>
      </x:c>
      <x:c r="D2" s="18" t="n">
        <x:v>188</x:v>
      </x:c>
      <x:c r="E2" s="36" t="n">
        <x:v>2853.210294067856</x:v>
      </x:c>
      <x:c r="F2" s="18" t="n">
        <x:v>212.6536619115901</x:v>
      </x:c>
      <x:c r="G2" s="18" t="n">
        <x:v>0.3229661246468204</x:v>
      </x:c>
      <x:c r="H2" s="18" t="n">
        <x:v>0.5</x:v>
      </x:c>
      <x:c r="I2" s="22" t="n">
        <x:v>0.6945115237619888</x:v>
      </x:c>
      <x:c r="J2" s="36" t="n">
        <x:v>949.9403871819728</x:v>
      </x:c>
      <x:c r="K2" s="18" t="n">
        <x:v>139.24860153286585</x:v>
      </x:c>
      <x:c r="L2" s="36" t="n">
        <x:v>2592.186346748364</x:v>
      </x:c>
      <x:c r="M2" s="18" t="n">
        <x:v>458.2903791981507</x:v>
      </x:c>
    </x:row>
    <x:row r="3">
      <x:c r="A3" s="33" t="str">
        <x:v>real_sparse_r04_c40_u130_k10_s1</x:v>
      </x:c>
      <x:c r="B3" s="33" t="n">
        <x:v>0.3</x:v>
      </x:c>
      <x:c r="C3" s="34" t="n">
        <x:v>42</x:v>
      </x:c>
      <x:c r="D3" s="33" t="n">
        <x:v>225</x:v>
      </x:c>
      <x:c r="E3" s="37" t="n">
        <x:v>2968.3646170843026</x:v>
      </x:c>
      <x:c r="F3" s="33" t="n">
        <x:v>177.7578114599395</x:v>
      </x:c>
      <x:c r="G3" s="33" t="n">
        <x:v>0.4532108914886085</x:v>
      </x:c>
      <x:c r="H3" s="33" t="n">
        <x:v>0.5</x:v>
      </x:c>
      <x:c r="I3" s="35" t="n">
        <x:v>0.6748830067144627</x:v>
      </x:c>
      <x:c r="J3" s="37" t="n">
        <x:v>949.9403871819728</x:v>
      </x:c>
      <x:c r="K3" s="33" t="n">
        <x:v>139.24860153286585</x:v>
      </x:c>
      <x:c r="L3" s="37" t="n">
        <x:v>2592.186346748364</x:v>
      </x:c>
      <x:c r="M3" s="33" t="n">
        <x:v>458.2903791981507</x:v>
      </x:c>
    </x:row>
    <x:row r="4">
      <x:c r="A4" s="33" t="str">
        <x:v>real_sparse_r04_c40_u130_k10_s1</x:v>
      </x:c>
      <x:c r="B4" s="33" t="n">
        <x:v>0.5</x:v>
      </x:c>
      <x:c r="C4" s="34" t="n">
        <x:v>42</x:v>
      </x:c>
      <x:c r="D4" s="33" t="n">
        <x:v>26</x:v>
      </x:c>
      <x:c r="E4" s="37" t="n">
        <x:v>2442.116254481157</x:v>
      </x:c>
      <x:c r="F4" s="33" t="n">
        <x:v>200.15803289319888</x:v>
      </x:c>
      <x:c r="G4" s="33" t="n">
        <x:v>0.5497663223641392</x:v>
      </x:c>
      <x:c r="H4" s="33" t="n">
        <x:v>0.5</x:v>
      </x:c>
      <x:c r="I4" s="35" t="n">
        <x:v>0.5497663223641392</x:v>
      </x:c>
      <x:c r="J4" s="37" t="n">
        <x:v>949.9403871819728</x:v>
      </x:c>
      <x:c r="K4" s="33" t="n">
        <x:v>139.24860153286585</x:v>
      </x:c>
      <x:c r="L4" s="37" t="n">
        <x:v>2592.186346748364</x:v>
      </x:c>
      <x:c r="M4" s="33" t="n">
        <x:v>458.2903791981507</x:v>
      </x:c>
    </x:row>
    <x:row r="5">
      <x:c r="A5" s="33" t="str">
        <x:v>real_sparse_r04_c40_u130_k10_s1</x:v>
      </x:c>
      <x:c r="B5" s="33" t="n">
        <x:v>0.7</x:v>
      </x:c>
      <x:c r="C5" s="34" t="n">
        <x:v>42</x:v>
      </x:c>
      <x:c r="D5" s="33" t="n">
        <x:v>34</x:v>
      </x:c>
      <x:c r="E5" s="37" t="n">
        <x:v>1927.3145283802787</x:v>
      </x:c>
      <x:c r="F5" s="33" t="n">
        <x:v>323.842424074887</x:v>
      </x:c>
      <x:c r="G5" s="33" t="n">
        <x:v>0.5901778329669638</x:v>
      </x:c>
      <x:c r="H5" s="33" t="n">
        <x:v>0.5</x:v>
      </x:c>
      <x:c r="I5" s="35" t="n">
        <x:v>0.5868665224067133</x:v>
      </x:c>
      <x:c r="J5" s="37" t="n">
        <x:v>949.9403871819728</x:v>
      </x:c>
      <x:c r="K5" s="33" t="n">
        <x:v>139.24860153286585</x:v>
      </x:c>
      <x:c r="L5" s="37" t="n">
        <x:v>2592.186346748364</x:v>
      </x:c>
      <x:c r="M5" s="33" t="n">
        <x:v>458.2903791981507</x:v>
      </x:c>
    </x:row>
    <x:row r="6">
      <x:c r="A6" s="33" t="str">
        <x:v>real_sparse_r04_c40_u130_k10_s1</x:v>
      </x:c>
      <x:c r="B6" s="33" t="n">
        <x:v>0.9</x:v>
      </x:c>
      <x:c r="C6" s="34" t="n">
        <x:v>42</x:v>
      </x:c>
      <x:c r="D6" s="33" t="n">
        <x:v>70</x:v>
      </x:c>
      <x:c r="E6" s="37" t="n">
        <x:v>1984.6547781086476</x:v>
      </x:c>
      <x:c r="F6" s="33" t="n">
        <x:v>218.2308624004245</x:v>
      </x:c>
      <x:c r="G6" s="33" t="n">
        <x:v>0.5918105813847565</x:v>
      </x:c>
      <x:c r="H6" s="33" t="n">
        <x:v>0.5</x:v>
      </x:c>
      <x:c r="I6" s="35" t="n">
        <x:v>0.4388107108038428</x:v>
      </x:c>
      <x:c r="J6" s="37" t="n">
        <x:v>949.9403871819728</x:v>
      </x:c>
      <x:c r="K6" s="33" t="n">
        <x:v>139.24860153286585</x:v>
      </x:c>
      <x:c r="L6" s="37" t="n">
        <x:v>2592.186346748364</x:v>
      </x:c>
      <x:c r="M6" s="33" t="n">
        <x:v>458.2903791981507</x:v>
      </x:c>
    </x:row>
    <x:row r="7">
      <x:c r="A7" s="33" t="str">
        <x:v>real_sparse_r04_c40_u130_k10_s1</x:v>
      </x:c>
      <x:c r="B7" s="33" t="n">
        <x:v>0.1</x:v>
      </x:c>
      <x:c r="C7" s="34" t="n">
        <x:v>43</x:v>
      </x:c>
      <x:c r="D7" s="33" t="n">
        <x:v>27</x:v>
      </x:c>
      <x:c r="E7" s="37" t="n">
        <x:v>2456.7524160943026</x:v>
      </x:c>
      <x:c r="F7" s="33" t="n">
        <x:v>214.7909874327169</x:v>
      </x:c>
      <x:c r="G7" s="33" t="n">
        <x:v>0.4835115654414015</x:v>
      </x:c>
      <x:c r="H7" s="33" t="n">
        <x:v>0.5</x:v>
      </x:c>
      <x:c r="I7" s="35" t="n">
        <x:v>0.6972522843593995</x:v>
      </x:c>
      <x:c r="J7" s="37" t="n">
        <x:v>972.9643065688264</x:v>
      </x:c>
      <x:c r="K7" s="33" t="n">
        <x:v>131.30248242579103</x:v>
      </x:c>
      <x:c r="L7" s="37" t="n">
        <x:v>2511.480222704041</x:v>
      </x:c>
      <x:c r="M7" s="33" t="n">
        <x:v>325.4273118295909</x:v>
      </x:c>
    </x:row>
    <x:row r="8">
      <x:c r="A8" s="33" t="str">
        <x:v>real_sparse_r04_c40_u130_k10_s1</x:v>
      </x:c>
      <x:c r="B8" s="33" t="n">
        <x:v>0.3</x:v>
      </x:c>
      <x:c r="C8" s="34" t="n">
        <x:v>43</x:v>
      </x:c>
      <x:c r="D8" s="33" t="n">
        <x:v>27</x:v>
      </x:c>
      <x:c r="E8" s="37" t="n">
        <x:v>2145.1413088165764</x:v>
      </x:c>
      <x:c r="F8" s="33" t="n">
        <x:v>234.7378234402619</x:v>
      </x:c>
      <x:c r="G8" s="33" t="n">
        <x:v>0.6015467448967197</x:v>
      </x:c>
      <x:c r="H8" s="33" t="n">
        <x:v>0.5</x:v>
      </x:c>
      <x:c r="I8" s="35" t="n">
        <x:v>0.6473585669701263</x:v>
      </x:c>
      <x:c r="J8" s="37" t="n">
        <x:v>972.9643065688264</x:v>
      </x:c>
      <x:c r="K8" s="33" t="n">
        <x:v>131.30248242579103</x:v>
      </x:c>
      <x:c r="L8" s="37" t="n">
        <x:v>2511.480222704041</x:v>
      </x:c>
      <x:c r="M8" s="33" t="n">
        <x:v>325.4273118295909</x:v>
      </x:c>
    </x:row>
    <x:row r="9">
      <x:c r="A9" s="33" t="str">
        <x:v>real_sparse_r04_c40_u130_k10_s1</x:v>
      </x:c>
      <x:c r="B9" s="33" t="n">
        <x:v>0.5</x:v>
      </x:c>
      <x:c r="C9" s="34" t="n">
        <x:v>43</x:v>
      </x:c>
      <x:c r="D9" s="33" t="n">
        <x:v>27</x:v>
      </x:c>
      <x:c r="E9" s="37" t="n">
        <x:v>2115.1869002496032</x:v>
      </x:c>
      <x:c r="F9" s="33" t="n">
        <x:v>234.77201701503213</x:v>
      </x:c>
      <x:c r="G9" s="33" t="n">
        <x:v>0.6377117993691129</x:v>
      </x:c>
      <x:c r="H9" s="33" t="n">
        <x:v>0.5</x:v>
      </x:c>
      <x:c r="I9" s="35" t="n">
        <x:v>0.6377117993691129</x:v>
      </x:c>
      <x:c r="J9" s="37" t="n">
        <x:v>972.9643065688264</x:v>
      </x:c>
      <x:c r="K9" s="33" t="n">
        <x:v>131.30248242579103</x:v>
      </x:c>
      <x:c r="L9" s="37" t="n">
        <x:v>2511.480222704041</x:v>
      </x:c>
      <x:c r="M9" s="33" t="n">
        <x:v>325.4273118295909</x:v>
      </x:c>
    </x:row>
    <x:row r="10">
      <x:c r="A10" s="33" t="str">
        <x:v>real_sparse_r04_c40_u130_k10_s1</x:v>
      </x:c>
      <x:c r="B10" s="33" t="n">
        <x:v>0.7</x:v>
      </x:c>
      <x:c r="C10" s="34" t="n">
        <x:v>43</x:v>
      </x:c>
      <x:c r="D10" s="33" t="n">
        <x:v>307</x:v>
      </x:c>
      <x:c r="E10" s="37" t="n">
        <x:v>1548.293249610328</x:v>
      </x:c>
      <x:c r="F10" s="33" t="n">
        <x:v>339.6840737674919</x:v>
      </x:c>
      <x:c r="G10" s="33" t="n">
        <x:v>0.5837977792014016</x:v>
      </x:c>
      <x:c r="H10" s="33" t="n">
        <x:v>0.5</x:v>
      </x:c>
      <x:c r="I10" s="35" t="n">
        <x:v>0.7236959016618485</x:v>
      </x:c>
      <x:c r="J10" s="37" t="n">
        <x:v>972.9643065688264</x:v>
      </x:c>
      <x:c r="K10" s="33" t="n">
        <x:v>131.30248242579103</x:v>
      </x:c>
      <x:c r="L10" s="37" t="n">
        <x:v>2511.480222704041</x:v>
      </x:c>
      <x:c r="M10" s="33" t="n">
        <x:v>325.4273118295909</x:v>
      </x:c>
    </x:row>
    <x:row r="11">
      <x:c r="A11" s="33" t="str">
        <x:v>real_sparse_r04_c40_u130_k10_s1</x:v>
      </x:c>
      <x:c r="B11" s="33" t="n">
        <x:v>0.9</x:v>
      </x:c>
      <x:c r="C11" s="34" t="n">
        <x:v>43</x:v>
      </x:c>
      <x:c r="D11" s="33" t="n">
        <x:v>265</x:v>
      </x:c>
      <x:c r="E11" s="37" t="n">
        <x:v>1221.3230409462055</x:v>
      </x:c>
      <x:c r="F11" s="33" t="n">
        <x:v>376.8954134662699</x:v>
      </x:c>
      <x:c r="G11" s="33" t="n">
        <x:v>0.2717976140155795</x:v>
      </x:c>
      <x:c r="H11" s="33" t="n">
        <x:v>0.5</x:v>
      </x:c>
      <x:c r="I11" s="35" t="n">
        <x:v>0.7132781836276834</x:v>
      </x:c>
      <x:c r="J11" s="37" t="n">
        <x:v>972.9643065688264</x:v>
      </x:c>
      <x:c r="K11" s="33" t="n">
        <x:v>131.30248242579103</x:v>
      </x:c>
      <x:c r="L11" s="37" t="n">
        <x:v>2511.480222704041</x:v>
      </x:c>
      <x:c r="M11" s="33" t="n">
        <x:v>325.4273118295909</x:v>
      </x:c>
    </x:row>
    <x:row r="12">
      <x:c r="A12" s="33" t="str">
        <x:v>real_sparse_r04_c40_u130_k10_s1</x:v>
      </x:c>
      <x:c r="B12" s="33" t="n">
        <x:v>0.1</x:v>
      </x:c>
      <x:c r="C12" s="34" t="n">
        <x:v>44</x:v>
      </x:c>
      <x:c r="D12" s="33" t="n">
        <x:v>20</x:v>
      </x:c>
      <x:c r="E12" s="37" t="n">
        <x:v>2911.350834168671</x:v>
      </x:c>
      <x:c r="F12" s="33" t="n">
        <x:v>175.6901455916151</x:v>
      </x:c>
      <x:c r="G12" s="33" t="n">
        <x:v>0.2586695231315266</x:v>
      </x:c>
      <x:c r="H12" s="33" t="n">
        <x:v>0.5</x:v>
      </x:c>
      <x:c r="I12" s="35" t="n">
        <x:v>0.6320079196714027</x:v>
      </x:c>
      <x:c r="J12" s="37" t="n">
        <x:v>965.8877245399811</x:v>
      </x:c>
      <x:c r="K12" s="33" t="n">
        <x:v>135.84956995450497</x:v>
      </x:c>
      <x:c r="L12" s="37" t="n">
        <x:v>2736.6139494654226</x:v>
      </x:c>
      <x:c r="M12" s="33" t="n">
        <x:v>376.81847521701104</x:v>
      </x:c>
    </x:row>
    <x:row r="13">
      <x:c r="A13" s="33" t="str">
        <x:v>real_sparse_r04_c40_u130_k10_s1</x:v>
      </x:c>
      <x:c r="B13" s="33" t="n">
        <x:v>0.3</x:v>
      </x:c>
      <x:c r="C13" s="34" t="n">
        <x:v>44</x:v>
      </x:c>
      <x:c r="D13" s="33" t="n">
        <x:v>20</x:v>
      </x:c>
      <x:c r="E13" s="37" t="n">
        <x:v>2969.850685803412</x:v>
      </x:c>
      <x:c r="F13" s="33" t="n">
        <x:v>175.6901455916151</x:v>
      </x:c>
      <x:c r="G13" s="33" t="n">
        <x:v>0.455249883976109</x:v>
      </x:c>
      <x:c r="H13" s="33" t="n">
        <x:v>0.5</x:v>
      </x:c>
      <x:c r="I13" s="35" t="n">
        <x:v>0.6485265239624766</x:v>
      </x:c>
      <x:c r="J13" s="37" t="n">
        <x:v>965.8877245399811</x:v>
      </x:c>
      <x:c r="K13" s="33" t="n">
        <x:v>135.84956995450497</x:v>
      </x:c>
      <x:c r="L13" s="37" t="n">
        <x:v>2736.6139494654226</x:v>
      </x:c>
      <x:c r="M13" s="33" t="n">
        <x:v>376.81847521701104</x:v>
      </x:c>
    </x:row>
    <x:row r="14">
      <x:c r="A14" s="33" t="str">
        <x:v>real_sparse_r04_c40_u130_k10_s1</x:v>
      </x:c>
      <x:c r="B14" s="33" t="n">
        <x:v>0.5</x:v>
      </x:c>
      <x:c r="C14" s="34" t="n">
        <x:v>44</x:v>
      </x:c>
      <x:c r="D14" s="33" t="n">
        <x:v>1</x:v>
      </x:c>
      <x:c r="E14" s="37" t="n">
        <x:v>2300.8530864666527</x:v>
      </x:c>
      <x:c r="F14" s="33" t="n">
        <x:v>232.95995901420065</x:v>
      </x:c>
      <x:c r="G14" s="33" t="n">
        <x:v>0.5784540307874697</x:v>
      </x:c>
      <x:c r="H14" s="33" t="n">
        <x:v>0.5</x:v>
      </x:c>
      <x:c r="I14" s="35" t="n">
        <x:v>0.5784540307874697</x:v>
      </x:c>
      <x:c r="J14" s="37" t="n">
        <x:v>965.8877245399811</x:v>
      </x:c>
      <x:c r="K14" s="33" t="n">
        <x:v>135.84956995450497</x:v>
      </x:c>
      <x:c r="L14" s="37" t="n">
        <x:v>2736.6139494654226</x:v>
      </x:c>
      <x:c r="M14" s="33" t="n">
        <x:v>376.81847521701104</x:v>
      </x:c>
    </x:row>
    <x:row r="15">
      <x:c r="A15" s="33" t="str">
        <x:v>real_sparse_r04_c40_u130_k10_s1</x:v>
      </x:c>
      <x:c r="B15" s="33" t="n">
        <x:v>0.7</x:v>
      </x:c>
      <x:c r="C15" s="34" t="n">
        <x:v>44</x:v>
      </x:c>
      <x:c r="D15" s="33" t="n">
        <x:v>96</x:v>
      </x:c>
      <x:c r="E15" s="37" t="n">
        <x:v>1751.6359746958094</x:v>
      </x:c>
      <x:c r="F15" s="33" t="n">
        <x:v>311.4654057687024</x:v>
      </x:c>
      <x:c r="G15" s="33" t="n">
        <x:v>0.529257582683027</x:v>
      </x:c>
      <x:c r="H15" s="33" t="n">
        <x:v>0.5</x:v>
      </x:c>
      <x:c r="I15" s="35" t="n">
        <x:v>0.5862669720549041</x:v>
      </x:c>
      <x:c r="J15" s="37" t="n">
        <x:v>965.8877245399811</x:v>
      </x:c>
      <x:c r="K15" s="33" t="n">
        <x:v>135.84956995450497</x:v>
      </x:c>
      <x:c r="L15" s="37" t="n">
        <x:v>2736.6139494654226</x:v>
      </x:c>
      <x:c r="M15" s="33" t="n">
        <x:v>376.81847521701104</x:v>
      </x:c>
    </x:row>
    <x:row r="16">
      <x:c r="A16" s="19" t="str">
        <x:v>real_sparse_r04_c40_u130_k10_s1</x:v>
      </x:c>
      <x:c r="B16" s="19" t="n">
        <x:v>0.9</x:v>
      </x:c>
      <x:c r="C16" s="21" t="n">
        <x:v>44</x:v>
      </x:c>
      <x:c r="D16" s="19" t="n">
        <x:v>250</x:v>
      </x:c>
      <x:c r="E16" s="38" t="n">
        <x:v>1739.27385697304</x:v>
      </x:c>
      <x:c r="F16" s="19" t="n">
        <x:v>317.5425342635182</x:v>
      </x:c>
      <x:c r="G16" s="19" t="n">
        <x:v>0.468486904207069</x:v>
      </x:c>
      <x:c r="H16" s="19" t="n">
        <x:v>0.5</x:v>
      </x:c>
      <x:c r="I16" s="23" t="n">
        <x:v>0.5953860579887824</x:v>
      </x:c>
      <x:c r="J16" s="38" t="n">
        <x:v>965.8877245399811</x:v>
      </x:c>
      <x:c r="K16" s="19" t="n">
        <x:v>135.84956995450497</x:v>
      </x:c>
      <x:c r="L16" s="38" t="n">
        <x:v>2736.6139494654226</x:v>
      </x:c>
      <x:c r="M16" s="19" t="n">
        <x:v>376.81847521701104</x:v>
      </x:c>
    </x:row>
  </x:sheetData>
  <x:pageMargins left="0.7" right="0.7" top="0.75" bottom="0.75" header="0.3" footer="0.3"/>
  <x:tableParts count="1">
    <x:tablePart xmlns:r="http://schemas.openxmlformats.org/officeDocument/2006/relationships" r:id="R49d67f45591d4e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3" hidden="0" customWidth="1"/>
  </x:cols>
  <x:sheetData>
    <x:row r="1" ht="34" customHeight="1">
      <x:c r="A1" s="12" t="str">
        <x:v>Seed</x:v>
      </x:c>
      <x:c r="B1" s="13" t="str">
        <x:v>Method</x:v>
      </x:c>
      <x:c r="C1" s="14" t="str">
        <x:v>BestQ</x:v>
      </x:c>
    </x:row>
    <x:row r="2">
      <x:c r="A2" s="20" t="n">
        <x:v>42</x:v>
      </x:c>
      <x:c r="B2" s="18" t="str">
        <x:v>NS-P</x:v>
      </x:c>
      <x:c r="C2" s="22" t="n">
        <x:v>0.2343728546376079</x:v>
      </x:c>
    </x:row>
    <x:row r="3">
      <x:c r="A3" s="34" t="n">
        <x:v>42</x:v>
      </x:c>
      <x:c r="B3" s="33" t="str">
        <x:v>GCP</x:v>
      </x:c>
      <x:c r="C3" s="35" t="n">
        <x:v>0.2420890074343047</x:v>
      </x:c>
    </x:row>
    <x:row r="4">
      <x:c r="A4" s="34" t="n">
        <x:v>42</x:v>
      </x:c>
      <x:c r="B4" s="33" t="str">
        <x:v>GDP</x:v>
      </x:c>
      <x:c r="C4" s="35" t="n">
        <x:v>0.2385479433660541</x:v>
      </x:c>
    </x:row>
    <x:row r="5">
      <x:c r="A5" s="34" t="n">
        <x:v>42</x:v>
      </x:c>
      <x:c r="B5" s="33" t="str">
        <x:v>PSP</x:v>
      </x:c>
      <x:c r="C5" s="35" t="n">
        <x:v>0.2273324743696142</x:v>
      </x:c>
    </x:row>
    <x:row r="6">
      <x:c r="A6" s="34" t="n">
        <x:v>43</x:v>
      </x:c>
      <x:c r="B6" s="33" t="str">
        <x:v>NS-P</x:v>
      </x:c>
      <x:c r="C6" s="35" t="n">
        <x:v>0.350866740281044</x:v>
      </x:c>
    </x:row>
    <x:row r="7">
      <x:c r="A7" s="34" t="n">
        <x:v>43</x:v>
      </x:c>
      <x:c r="B7" s="33" t="str">
        <x:v>GCP</x:v>
      </x:c>
      <x:c r="C7" s="35" t="n">
        <x:v>0.3292798989518716</x:v>
      </x:c>
    </x:row>
    <x:row r="8">
      <x:c r="A8" s="34" t="n">
        <x:v>43</x:v>
      </x:c>
      <x:c r="B8" s="33" t="str">
        <x:v>GDP</x:v>
      </x:c>
      <x:c r="C8" s="35" t="n">
        <x:v>0.3138688954712452</x:v>
      </x:c>
    </x:row>
    <x:row r="9">
      <x:c r="A9" s="34" t="n">
        <x:v>43</x:v>
      </x:c>
      <x:c r="B9" s="33" t="str">
        <x:v>PSP</x:v>
      </x:c>
      <x:c r="C9" s="35" t="n">
        <x:v>0.3241195727553839</x:v>
      </x:c>
    </x:row>
    <x:row r="10">
      <x:c r="A10" s="34" t="n">
        <x:v>44</x:v>
      </x:c>
      <x:c r="B10" s="33" t="str">
        <x:v>NS-P</x:v>
      </x:c>
      <x:c r="C10" s="35" t="n">
        <x:v>0.3005755381403313</x:v>
      </x:c>
    </x:row>
    <x:row r="11">
      <x:c r="A11" s="34" t="n">
        <x:v>44</x:v>
      </x:c>
      <x:c r="B11" s="33" t="str">
        <x:v>GCP</x:v>
      </x:c>
      <x:c r="C11" s="35" t="n">
        <x:v>0.2686829660839593</x:v>
      </x:c>
    </x:row>
    <x:row r="12">
      <x:c r="A12" s="34" t="n">
        <x:v>44</x:v>
      </x:c>
      <x:c r="B12" s="33" t="str">
        <x:v>GDP</x:v>
      </x:c>
      <x:c r="C12" s="35" t="n">
        <x:v>0.2674209257539141</x:v>
      </x:c>
    </x:row>
    <x:row r="13">
      <x:c r="A13" s="34" t="n">
        <x:v>44</x:v>
      </x:c>
      <x:c r="B13" s="33" t="str">
        <x:v>PSP</x:v>
      </x:c>
      <x:c r="C13" s="35" t="n">
        <x:v>0.2520656214859217</x:v>
      </x:c>
    </x:row>
    <x:row r="14">
      <x:c r="A14" s="34" t="n">
        <x:v>42</x:v>
      </x:c>
      <x:c r="B14" s="33" t="str">
        <x:v>DQN</x:v>
      </x:c>
      <x:c r="C14" s="35" t="n">
        <x:v>0.4388107108038428</x:v>
      </x:c>
    </x:row>
    <x:row r="15">
      <x:c r="A15" s="34" t="n">
        <x:v>43</x:v>
      </x:c>
      <x:c r="B15" s="33" t="str">
        <x:v>DQN</x:v>
      </x:c>
      <x:c r="C15" s="35" t="n">
        <x:v>0.6377117993691129</x:v>
      </x:c>
    </x:row>
    <x:row r="16">
      <x:c r="A16" s="21" t="n">
        <x:v>44</x:v>
      </x:c>
      <x:c r="B16" s="19" t="str">
        <x:v>DQN</x:v>
      </x:c>
      <x:c r="C16" s="23" t="n">
        <x:v>0.5784540307874697</x:v>
      </x:c>
    </x:row>
  </x:sheetData>
  <x:pageMargins left="0.7" right="0.7" top="0.75" bottom="0.75" header="0.3" footer="0.3"/>
  <x:tableParts count="1">
    <x:tablePart xmlns:r="http://schemas.openxmlformats.org/officeDocument/2006/relationships" r:id="Rb0ea5a63300e4b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</x:cols>
  <x:sheetData>
    <x:row r="1" ht="34" customHeight="1">
      <x:c r="A1" s="12" t="str">
        <x:v>Method</x:v>
      </x:c>
      <x:c r="B1" s="13" t="str">
        <x:v>Seeds</x:v>
      </x:c>
      <x:c r="C1" s="13" t="str">
        <x:v>BestQMean</x:v>
      </x:c>
      <x:c r="D1" s="14" t="str">
        <x:v>BestQStd</x:v>
      </x:c>
    </x:row>
    <x:row r="2">
      <x:c r="A2" s="18" t="str">
        <x:v>NS-P</x:v>
      </x:c>
      <x:c r="B2" s="20" t="n">
        <x:v>3</x:v>
      </x:c>
      <x:c r="C2" s="22" t="n">
        <x:v>0.29527171101966104</x:v>
      </x:c>
      <x:c r="D2" s="22" t="n">
        <x:v>0.058427769807437954</x:v>
      </x:c>
    </x:row>
    <x:row r="3">
      <x:c r="A3" s="33" t="str">
        <x:v>GCP</x:v>
      </x:c>
      <x:c r="B3" s="34" t="n">
        <x:v>3</x:v>
      </x:c>
      <x:c r="C3" s="35" t="n">
        <x:v>0.2800172908233785</x:v>
      </x:c>
      <x:c r="D3" s="35" t="n">
        <x:v>0.04468683339509512</x:v>
      </x:c>
    </x:row>
    <x:row r="4">
      <x:c r="A4" s="33" t="str">
        <x:v>GDP</x:v>
      </x:c>
      <x:c r="B4" s="34" t="n">
        <x:v>3</x:v>
      </x:c>
      <x:c r="C4" s="35" t="n">
        <x:v>0.2732792548637378</x:v>
      </x:c>
      <x:c r="D4" s="35" t="n">
        <x:v>0.038000677250246195</x:v>
      </x:c>
    </x:row>
    <x:row r="5">
      <x:c r="A5" s="33" t="str">
        <x:v>PSP</x:v>
      </x:c>
      <x:c r="B5" s="34" t="n">
        <x:v>3</x:v>
      </x:c>
      <x:c r="C5" s="35" t="n">
        <x:v>0.2678392228703066</x:v>
      </x:c>
      <x:c r="D5" s="35" t="n">
        <x:v>0.05028459484732145</x:v>
      </x:c>
    </x:row>
    <x:row r="6">
      <x:c r="A6" s="19" t="str">
        <x:v>DQN</x:v>
      </x:c>
      <x:c r="B6" s="21" t="n">
        <x:v>3</x:v>
      </x:c>
      <x:c r="C6" s="23" t="n">
        <x:v>0.5516588469868084</x:v>
      </x:c>
      <x:c r="D6" s="23" t="n">
        <x:v>0.10212197199572563</x:v>
      </x:c>
    </x:row>
  </x:sheetData>
  <x:pageMargins left="0.7" right="0.7" top="0.75" bottom="0.75" header="0.3" footer="0.3"/>
  <x:tableParts count="1">
    <x:tablePart xmlns:r="http://schemas.openxmlformats.org/officeDocument/2006/relationships" r:id="R90771442d6814cbd"/>
  </x:tableParts>
</x:worksheet>
</file>