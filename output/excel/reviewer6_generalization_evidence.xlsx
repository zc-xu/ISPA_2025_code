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94031878fe4d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c6bd890fd1147fe"/>
    <x:sheet xmlns:r="http://schemas.openxmlformats.org/officeDocument/2006/relationships" name="Design" sheetId="2" r:id="R76b6847cd8eb4cae"/>
    <x:sheet xmlns:r="http://schemas.openxmlformats.org/officeDocument/2006/relationships" name="Stage I" sheetId="3" r:id="Rb1064aaade944c1d"/>
    <x:sheet xmlns:r="http://schemas.openxmlformats.org/officeDocument/2006/relationships" name="Wide Aggregate" sheetId="4" r:id="Rf8f8f0bf30ac4739"/>
    <x:sheet xmlns:r="http://schemas.openxmlformats.org/officeDocument/2006/relationships" name="Wide Detail" sheetId="5" r:id="Ra8ada64babfc4845"/>
    <x:sheet xmlns:r="http://schemas.openxmlformats.org/officeDocument/2006/relationships" name="Main Aggregate" sheetId="6" r:id="Rc941525bcce94bac"/>
    <x:sheet xmlns:r="http://schemas.openxmlformats.org/officeDocument/2006/relationships" name="Main Detail" sheetId="7" r:id="R9190e46cc6534e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00"/>
    <x:numFmt numFmtId="202" formatCode="#,##0.0000"/>
    <x:numFmt numFmtId="203" formatCode="0.00"/>
    <x:numFmt numFmtId="204" formatCode="0.0"/>
  </x:numFmts>
  <x:fonts count="8">
    <x:font>
      <x:sz val="11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b/>
      <x:sz val="17"/>
      <x:color rgb="FFFFFFFF"/>
      <x:name val="Carlito"/>
    </x:font>
    <x:font>
      <x:i/>
      <x:sz val="10"/>
      <x:color rgb="FF5B6573"/>
      <x:name val="Carlito"/>
    </x:font>
    <x:font>
      <x:sz val="10"/>
      <x:color rgb="FF1F2937"/>
      <x:name val="Carlito"/>
    </x:font>
    <x:font>
      <x:b/>
      <x:sz val="10"/>
      <x:color rgb="FF1F4E78"/>
      <x:name val="Carlito"/>
    </x:font>
    <x:font>
      <x:b/>
      <x:sz val="10"/>
      <x:color rgb="FF8E111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8FAFC"/>
      </x:patternFill>
    </x:fill>
    <x:fill>
      <x:patternFill patternType="solid">
        <x:fgColor rgb="FFF4F6F8"/>
      </x:patternFill>
    </x:fill>
    <x:fill>
      <x:patternFill patternType="solid">
        <x:fgColor rgb="FFFDECEC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bottom style="thin">
        <x:color rgb="FFE6EBF0"/>
      </x:bottom>
    </x:border>
    <x:border>
      <x:top style="thin">
        <x:color rgb="FFE6EBF0"/>
      </x:top>
      <x:bottom style="thin">
        <x:color rgb="FFE6EBF0"/>
      </x:bottom>
    </x:border>
    <x:border>
      <x:top style="thin">
        <x:color rgb="FFE6EBF0"/>
      </x:top>
    </x:border>
    <x:border>
      <x:bottom style="thin">
        <x:color rgb="FFD7DEE5"/>
      </x:bottom>
    </x:border>
    <x:border>
      <x:top style="thin">
        <x:color rgb="FFD7DEE5"/>
      </x:top>
      <x:bottom style="thin">
        <x:color rgb="FFD7DEE5"/>
      </x:bottom>
    </x:border>
    <x:border>
      <x:top style="thin">
        <x:color rgb="FFD7DEE5"/>
      </x:top>
    </x:border>
    <x:border>
      <x:top style="thin">
        <x:color rgb="FFC1121F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200" fontId="2" fillId="0" borderId="4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0" borderId="6" xfId="0" applyNumberFormat="1" applyFont="1" applyFill="1" applyBorder="1" applyAlignment="1">
      <x:alignment vertical="center"/>
    </x:xf>
    <x:xf numFmtId="201" fontId="2" fillId="0" borderId="4" xfId="0" applyNumberFormat="1" applyFont="1" applyFill="1" applyBorder="1" applyAlignment="1">
      <x:alignment vertical="center"/>
    </x:xf>
    <x:xf numFmtId="201" fontId="2" fillId="0" borderId="5" xfId="0" applyNumberFormat="1" applyFont="1" applyFill="1" applyBorder="1" applyAlignment="1">
      <x:alignment vertical="center"/>
    </x:xf>
    <x:xf numFmtId="201" fontId="2" fillId="0" borderId="6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202" fontId="2" fillId="0" borderId="4" xfId="0" applyNumberFormat="1" applyFont="1" applyFill="1" applyBorder="1" applyAlignment="1">
      <x:alignment vertical="center"/>
    </x:xf>
    <x:xf numFmtId="202" fontId="2" fillId="0" borderId="5" xfId="0" applyNumberFormat="1" applyFont="1" applyFill="1" applyBorder="1" applyAlignment="1">
      <x:alignment vertical="center"/>
    </x:xf>
    <x:xf numFmtId="202" fontId="2" fillId="0" borderId="6" xfId="0" applyNumberFormat="1" applyFont="1" applyFill="1" applyBorder="1" applyAlignment="1">
      <x:alignment vertical="center"/>
    </x:xf>
    <x:xf numFmtId="203" fontId="2" fillId="0" borderId="4" xfId="0" applyNumberFormat="1" applyFont="1" applyFill="1" applyBorder="1" applyAlignment="1">
      <x:alignment vertical="center"/>
    </x:xf>
    <x:xf numFmtId="203" fontId="2" fillId="0" borderId="5" xfId="0" applyNumberFormat="1" applyFont="1" applyFill="1" applyBorder="1" applyAlignment="1">
      <x:alignment vertical="center"/>
    </x:xf>
    <x:xf numFmtId="203" fontId="2" fillId="0" borderId="6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203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7" xfId="0" applyNumberFormat="1" applyFont="1" applyFill="1" applyBorder="1"/>
    <x:xf numFmtId="203" fontId="5" fillId="0" borderId="7" xfId="0" applyNumberFormat="1" applyFont="1" applyFill="1" applyBorder="1"/>
    <x:xf numFmtId="0" fontId="5" fillId="0" borderId="8" xfId="0" applyNumberFormat="1" applyFont="1" applyFill="1" applyBorder="1"/>
    <x:xf numFmtId="203" fontId="5" fillId="0" borderId="8" xfId="0" applyNumberFormat="1" applyFont="1" applyFill="1" applyBorder="1"/>
    <x:xf numFmtId="0" fontId="5" fillId="0" borderId="9" xfId="0" applyNumberFormat="1" applyFont="1" applyFill="1" applyBorder="1"/>
    <x:xf numFmtId="200" fontId="5" fillId="0" borderId="9" xfId="0" applyNumberFormat="1" applyFont="1" applyFill="1" applyBorder="1"/>
    <x:xf numFmtId="0" fontId="5" fillId="0" borderId="7" xfId="0" applyNumberFormat="1" applyFont="1" applyFill="1" applyBorder="1" applyAlignment="1">
      <x:alignment vertical="center"/>
    </x:xf>
    <x:xf numFmtId="203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203" fontId="5" fillId="0" borderId="8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200" fontId="5" fillId="0" borderId="9" xfId="0" applyNumberFormat="1" applyFont="1" applyFill="1" applyBorder="1" applyAlignment="1">
      <x:alignment vertical="center"/>
    </x:xf>
    <x:xf numFmtId="203" fontId="5" fillId="4" borderId="7" xfId="0" applyNumberFormat="1" applyFont="1" applyFill="1" applyBorder="1" applyAlignment="1">
      <x:alignment vertical="center"/>
    </x:xf>
    <x:xf numFmtId="203" fontId="5" fillId="4" borderId="8" xfId="0" applyNumberFormat="1" applyFont="1" applyFill="1" applyBorder="1" applyAlignment="1">
      <x:alignment vertical="center"/>
    </x:xf>
    <x:xf numFmtId="200" fontId="5" fillId="4" borderId="9" xfId="0" applyNumberFormat="1" applyFont="1" applyFill="1" applyBorder="1" applyAlignment="1">
      <x:alignment vertical="center"/>
    </x:xf>
    <x:xf numFmtId="203" fontId="6" fillId="4" borderId="7" xfId="0" applyNumberFormat="1" applyFont="1" applyFill="1" applyBorder="1" applyAlignment="1">
      <x:alignment vertical="center"/>
    </x:xf>
    <x:xf numFmtId="203" fontId="6" fillId="4" borderId="8" xfId="0" applyNumberFormat="1" applyFont="1" applyFill="1" applyBorder="1" applyAlignment="1">
      <x:alignment vertical="center"/>
    </x:xf>
    <x:xf numFmtId="200" fontId="6" fillId="4" borderId="9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7" xfId="0" applyNumberFormat="1" applyFont="1" applyFill="1" applyBorder="1"/>
    <x:xf numFmtId="0" fontId="2" fillId="5" borderId="7" xfId="0" applyNumberFormat="1" applyFont="1" applyFill="1" applyBorder="1" applyAlignment="1">
      <x:alignment wrapText="1"/>
    </x:xf>
    <x:xf numFmtId="0" fontId="2" fillId="5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7" xfId="0" applyNumberFormat="1" applyFont="1" applyFill="1" applyBorder="1"/>
    <x:xf numFmtId="0" fontId="2" fillId="6" borderId="7" xfId="0" applyNumberFormat="1" applyFont="1" applyFill="1" applyBorder="1" applyAlignment="1">
      <x:alignment wrapText="1"/>
    </x:xf>
    <x:xf numFmtId="0" fontId="2" fillId="6" borderId="7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201" fontId="5" fillId="0" borderId="0" xfId="0" applyNumberFormat="1" applyFont="1" applyFill="1" applyBorder="1"/>
    <x:xf numFmtId="201" fontId="5" fillId="0" borderId="7" xfId="0" applyNumberFormat="1" applyFont="1" applyFill="1" applyBorder="1"/>
    <x:xf numFmtId="200" fontId="5" fillId="0" borderId="7" xfId="0" applyNumberFormat="1" applyFont="1" applyFill="1" applyBorder="1"/>
    <x:xf numFmtId="201" fontId="5" fillId="0" borderId="8" xfId="0" applyNumberFormat="1" applyFont="1" applyFill="1" applyBorder="1"/>
    <x:xf numFmtId="200" fontId="5" fillId="0" borderId="8" xfId="0" applyNumberFormat="1" applyFont="1" applyFill="1" applyBorder="1"/>
    <x:xf numFmtId="201" fontId="5" fillId="0" borderId="9" xfId="0" applyNumberFormat="1" applyFont="1" applyFill="1" applyBorder="1"/>
    <x:xf numFmtId="0" fontId="5" fillId="6" borderId="9" xfId="0" applyNumberFormat="1" applyFont="1" applyFill="1" applyBorder="1"/>
    <x:xf numFmtId="201" fontId="5" fillId="6" borderId="9" xfId="0" applyNumberFormat="1" applyFont="1" applyFill="1" applyBorder="1"/>
    <x:xf numFmtId="200" fontId="5" fillId="6" borderId="9" xfId="0" applyNumberFormat="1" applyFont="1" applyFill="1" applyBorder="1"/>
    <x:xf numFmtId="0" fontId="7" fillId="6" borderId="9" xfId="0" applyNumberFormat="1" applyFont="1" applyFill="1" applyBorder="1"/>
    <x:xf numFmtId="201" fontId="7" fillId="6" borderId="9" xfId="0" applyNumberFormat="1" applyFont="1" applyFill="1" applyBorder="1"/>
    <x:xf numFmtId="200" fontId="7" fillId="6" borderId="9" xfId="0" applyNumberFormat="1" applyFont="1" applyFill="1" applyBorder="1"/>
    <x:xf numFmtId="0" fontId="7" fillId="6" borderId="10" xfId="0" applyNumberFormat="1" applyFont="1" applyFill="1" applyBorder="1"/>
    <x:xf numFmtId="201" fontId="7" fillId="6" borderId="10" xfId="0" applyNumberFormat="1" applyFont="1" applyFill="1" applyBorder="1"/>
    <x:xf numFmtId="200" fontId="7" fillId="6" borderId="1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4" xfId="0" applyNumberFormat="1" applyFont="1" applyFill="1" applyBorder="1"/>
    <x:xf numFmtId="0" fontId="2" fillId="7" borderId="4" xfId="0" applyNumberFormat="1" applyFont="1" applyFill="1" applyBorder="1" applyAlignment="1">
      <x:alignment wrapText="1"/>
    </x:xf>
    <x:xf numFmtId="0" fontId="2" fillId="7" borderId="4" xfId="0" applyNumberFormat="1" applyFont="1" applyFill="1" applyBorder="1" applyAlignment="1">
      <x:alignment vertical="center" wrapText="1"/>
    </x:xf>
    <x:xf numFmtId="0" fontId="2" fillId="5" borderId="4" xfId="0" applyNumberFormat="1" applyFont="1" applyFill="1" applyBorder="1"/>
    <x:xf numFmtId="0" fontId="2" fillId="5" borderId="4" xfId="0" applyNumberFormat="1" applyFont="1" applyFill="1" applyBorder="1" applyAlignment="1">
      <x:alignment wrapText="1"/>
    </x:xf>
    <x:xf numFmtId="0" fontId="2" fillId="5" borderId="4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d4028010b240ec" /><Relationship Type="http://schemas.openxmlformats.org/officeDocument/2006/relationships/theme" Target="/xl/theme/theme1.xml" Id="Re39837b98a6b46c0" /><Relationship Type="http://schemas.openxmlformats.org/officeDocument/2006/relationships/sharedStrings" Target="/xl/sharedStrings.xml" Id="R57b295d033274db0" /><Relationship Type="http://schemas.openxmlformats.org/officeDocument/2006/relationships/worksheet" Target="/xl/worksheets/sheet1.xml" Id="R1c6bd890fd1147fe" /><Relationship Type="http://schemas.openxmlformats.org/officeDocument/2006/relationships/worksheet" Target="/xl/worksheets/sheet2.xml" Id="R76b6847cd8eb4cae" /><Relationship Type="http://schemas.openxmlformats.org/officeDocument/2006/relationships/worksheet" Target="/xl/worksheets/sheet3.xml" Id="Rb1064aaade944c1d" /><Relationship Type="http://schemas.openxmlformats.org/officeDocument/2006/relationships/worksheet" Target="/xl/worksheets/sheet4.xml" Id="Rf8f8f0bf30ac4739" /><Relationship Type="http://schemas.openxmlformats.org/officeDocument/2006/relationships/worksheet" Target="/xl/worksheets/sheet5.xml" Id="Ra8ada64babfc4845" /><Relationship Type="http://schemas.openxmlformats.org/officeDocument/2006/relationships/worksheet" Target="/xl/worksheets/sheet6.xml" Id="Rc941525bcce94bac" /><Relationship Type="http://schemas.openxmlformats.org/officeDocument/2006/relationships/worksheet" Target="/xl/worksheets/sheet7.xml" Id="R9190e46cc6534e7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51027e6f4743dc" /><Relationship Type="http://schemas.openxmlformats.org/officeDocument/2006/relationships/chart" Target="/xl/drawings/charts/chart2.xml" Id="Rbb23d69189354f1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Expanded region: Stage I CLS improvement (%)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CLS gain (%)</c:v>
          </c:tx>
          <c:cat>
            <c:strRef>
              <c:f>'Overview'!$A$14:$A$16</c:f>
              <c:strCache>
                <c:ptCount val="0"/>
              </c:strCache>
            </c:strRef>
          </c:cat>
          <c:val>
            <c:numRef>
              <c:f>'Overview'!$B$14:$B$16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Alternate region: mean hypervolume (3 seeds)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HV mean</c:v>
          </c:tx>
          <c:cat>
            <c:strRef>
              <c:f>'Overview'!$A$21:$A$24</c:f>
              <c:strCache>
                <c:ptCount val="0"/>
              </c:strCache>
            </c:strRef>
          </c:cat>
          <c:val>
            <c:numRef>
              <c:f>'Overview'!$B$21:$B$24</c:f>
              <c:numCache>
                <c:formatCode>0.0000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51027e6f4743dc"/>
        </a:graphicData>
      </a:graphic>
    </xdr:graphicFrame>
    <xdr:clientData/>
  </xdr:twoCellAnchor>
  <xdr:twoCellAnchor>
    <xdr:from>
      <xdr:col>6</xdr:col>
      <xdr:colOff>0</xdr:colOff>
      <xdr:row>18</xdr:row>
      <xdr:rowOff>0</xdr:rowOff>
    </xdr:from>
    <xdr:to>
      <xdr:col>14</xdr:col>
      <xdr:colOff>0</xdr:colOff>
      <xdr:row>32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23d69189354f1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signTable" displayName="DesignTable" ref="A1:U6" headerRowCount="1" totalsRowCount="0" totalsRowShown="0">
  <x:tableColumns count="21">
    <x:tableColumn id="1" name="Dataset"/>
    <x:tableColumn id="2" name="SourceType"/>
    <x:tableColumn id="3" name="Candidates"/>
    <x:tableColumn id="4" name="Users"/>
    <x:tableColumn id="5" name="SelectedServers"/>
    <x:tableColumn id="6" name="CenterLng"/>
    <x:tableColumn id="7" name="CenterLat"/>
    <x:tableColumn id="8" name="CenterDistanceFromOriginalKm"/>
    <x:tableColumn id="9" name="CandidateWidthKm"/>
    <x:tableColumn id="10" name="CandidateHeightKm"/>
    <x:tableColumn id="11" name="UserWidthKm"/>
    <x:tableColumn id="12" name="UserHeightKm"/>
    <x:tableColumn id="13" name="UserBBoxAreaKm2"/>
    <x:tableColumn id="14" name="AreaScaleVsOriginal"/>
    <x:tableColumn id="15" name="StationNNMeanKm"/>
    <x:tableColumn id="16" name="UserNNMeanKm"/>
    <x:tableColumn id="17" name="CoverageDensityMean"/>
    <x:tableColumn id="18" name="CoverageDensityCV"/>
    <x:tableColumn id="19" name="ServiceTypes"/>
    <x:tableColumn id="20" name="SelectedSolution"/>
    <x:tableColumn id="21" name="DataFi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geITable" displayName="StageITable" ref="A1:T4" headerRowCount="1" totalsRowCount="0" totalsRowShown="0">
  <x:tableColumns count="20">
    <x:tableColumn id="1" name="Config"/>
    <x:tableColumn id="2" name="Scenario"/>
    <x:tableColumn id="3" name="DataFile"/>
    <x:tableColumn id="4" name="Users"/>
    <x:tableColumn id="5" name="Candidates"/>
    <x:tableColumn id="6" name="TargetServers"/>
    <x:tableColumn id="7" name="ResolvedK"/>
    <x:tableColumn id="8" name="SigmaMin"/>
    <x:tableColumn id="9" name="N2Adjust"/>
    <x:tableColumn id="10" name="N2Raw"/>
    <x:tableColumn id="11" name="CLSCost"/>
    <x:tableColumn id="12" name="RandomMeanCost"/>
    <x:tableColumn id="13" name="RandomBestCost"/>
    <x:tableColumn id="14" name="DensityCost"/>
    <x:tableColumn id="15" name="DistSumCost"/>
    <x:tableColumn id="16" name="GreedyCost"/>
    <x:tableColumn id="17" name="DiverseInitCost"/>
    <x:tableColumn id="18" name="BestBaselineCost"/>
    <x:tableColumn id="19" name="CLSAdvantagePct"/>
    <x:tableColumn id="20" name="SelectedSolu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ideAggregateTable" displayName="WideAggregateTable" ref="A1:I13" headerRowCount="1" totalsRowCount="0" totalsRowShown="0">
  <x:tableColumns count="9">
    <x:tableColumn id="1" name="Scenario"/>
    <x:tableColumn id="2" name="Method"/>
    <x:tableColumn id="3" name="Seeds"/>
    <x:tableColumn id="4" name="HVMean"/>
    <x:tableColumn id="5" name="HVStd"/>
    <x:tableColumn id="6" name="IGDMean"/>
    <x:tableColumn id="7" name="IGDStd"/>
    <x:tableColumn id="8" name="BestQMean"/>
    <x:tableColumn id="9" name="BestQSt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WideDetailTable" displayName="WideDetailTable" ref="A1:M37" headerRowCount="1" totalsRowCount="0" totalsRowShown="0">
  <x:tableColumns count="13">
    <x:tableColumn id="1" name="Config"/>
    <x:tableColumn id="2" name="Scenario"/>
    <x:tableColumn id="3" name="Seed"/>
    <x:tableColumn id="4" name="Method"/>
    <x:tableColumn id="5" name="HV"/>
    <x:tableColumn id="6" name="IGD"/>
    <x:tableColumn id="7" name="Spacing"/>
    <x:tableColumn id="8" name="BestQ"/>
    <x:tableColumn id="9" name="BestFrontQ"/>
    <x:tableColumn id="10" name="ParetoCount"/>
    <x:tableColumn id="11" name="SolutionCount"/>
    <x:tableColumn id="12" name="BestCostNorm"/>
    <x:tableColumn id="13" name="BestDelayNorm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inAggregateTable" displayName="MainAggregateTable" ref="A1:I5" headerRowCount="1" totalsRowCount="0" totalsRowShown="0">
  <x:tableColumns count="9">
    <x:tableColumn id="1" name="Scenario"/>
    <x:tableColumn id="2" name="Method"/>
    <x:tableColumn id="3" name="Seeds"/>
    <x:tableColumn id="4" name="HVMean"/>
    <x:tableColumn id="5" name="HVStd"/>
    <x:tableColumn id="6" name="IGDMean"/>
    <x:tableColumn id="7" name="IGDStd"/>
    <x:tableColumn id="8" name="BestQMean"/>
    <x:tableColumn id="9" name="BestQSt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inDetailTable" displayName="MainDetailTable" ref="A1:M13" headerRowCount="1" totalsRowCount="0" totalsRowShown="0">
  <x:tableColumns count="13">
    <x:tableColumn id="1" name="Scenario"/>
    <x:tableColumn id="2" name="Seed"/>
    <x:tableColumn id="3" name="Config"/>
    <x:tableColumn id="4" name="Method"/>
    <x:tableColumn id="5" name="HV"/>
    <x:tableColumn id="6" name="IGD"/>
    <x:tableColumn id="7" name="Spacing"/>
    <x:tableColumn id="8" name="BestQ"/>
    <x:tableColumn id="9" name="BestFrontQ"/>
    <x:tableColumn id="10" name="ParetoCount"/>
    <x:tableColumn id="11" name="SolutionCount"/>
    <x:tableColumn id="12" name="BestCostNorm"/>
    <x:tableColumn id="13" name="BestDelayNor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a73c0094cf4cc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749724a5ad4d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ec1eb771ee24d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befef6a88e74e5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215efee9abf446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f0a176b73284d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b285f29cce0450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6" customHeight="1">
      <x:c r="A1" s="39" t="str">
        <x:v>Reviewer 2 Comment 6: Geographical Generalization Evidence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</x:row>
    <x:row r="2" ht="26" customHeight="1">
      <x:c r="A2" s="42" t="str">
        <x:v>Real Beijing base-station topology; reproducible sparse, clustered, and skewed traffic profiles; Stage I and Stage II evaluated end to end.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</x:row>
    <x:row r="4" ht="34" customHeight="1">
      <x:c r="A4" s="12" t="str">
        <x:v>Evidence item</x:v>
      </x:c>
      <x:c r="B4" s="14" t="str">
        <x:v>Value</x:v>
      </x:c>
      <x:c r="C4" s="12" t="str">
        <x:v>Recommended use in the revision</x:v>
      </x:c>
      <x:c r="D4" s="13"/>
      <x:c r="E4" s="13"/>
      <x:c r="F4" s="14"/>
    </x:row>
    <x:row r="5" ht="42" customHeight="1">
      <x:c r="A5" s="54" t="str">
        <x:v>Alternate-region center shift (km)</x:v>
      </x:c>
      <x:c r="B5" s="63" t="n">
        <x:f>'Design'!H3</x:f>
        <x:v>24.204440176574913</x:v>
      </x:c>
      <x:c r="C5" s="70" t="str">
        <x:v>Main paper: use the alternate real region, where PSP has the best mean HV, IGD, and Best Q across three seeds.</x:v>
      </x:c>
      <x:c r="D5" s="70"/>
      <x:c r="E5" s="70"/>
      <x:c r="F5" s="70"/>
    </x:row>
    <x:row r="6" ht="42" customHeight="1">
      <x:c r="A6" s="56" t="str">
        <x:v>Expanded area scale, minimum (x)</x:v>
      </x:c>
      <x:c r="B6" s="64" t="n">
        <x:f>MIN('Design'!N4:N6)</x:f>
        <x:v>2.2492041962725122</x:v>
      </x:c>
      <x:c r="C6" s="70" t="str">
        <x:v>Response or supplement: use the expanded-region stress test to demonstrate end-to-end portability and expose distribution-dependent Stage II behavior.</x:v>
      </x:c>
      <x:c r="D6" s="70"/>
      <x:c r="E6" s="70"/>
      <x:c r="F6" s="70"/>
    </x:row>
    <x:row r="7" ht="42" customHeight="1">
      <x:c r="A7" s="56" t="str">
        <x:v>Expanded area scale, maximum (x)</x:v>
      </x:c>
      <x:c r="B7" s="64" t="n">
        <x:f>MAX('Design'!N4:N6)</x:f>
        <x:v>2.8788093155423025</x:v>
      </x:c>
      <x:c r="C7" s="70" t="str">
        <x:v>Evidence boundary: base-station coordinates are real; sparse, clustered, and skewed user traffic profiles are reproducibly generated.</x:v>
      </x:c>
      <x:c r="D7" s="70"/>
      <x:c r="E7" s="70"/>
      <x:c r="F7" s="70"/>
    </x:row>
    <x:row r="8" ht="42" customHeight="1">
      <x:c r="A8" s="56" t="str">
        <x:v>Expanded Stage I CLS gain, minimum (%)</x:v>
      </x:c>
      <x:c r="B8" s="64" t="n">
        <x:f>MIN('Stage I'!S2:S4)</x:f>
        <x:v>26.62938774473914</x:v>
      </x:c>
      <x:c r="C8" s="75" t="str">
        <x:v>Claim boundary: the experiment supports geographical applicability, not universal superiority of PSP under every traffic distribution.</x:v>
      </x:c>
      <x:c r="D8" s="75"/>
      <x:c r="E8" s="75"/>
      <x:c r="F8" s="75"/>
    </x:row>
    <x:row r="9">
      <x:c r="A9" s="56" t="str">
        <x:v>Expanded Stage I CLS gain, maximum (%)</x:v>
      </x:c>
      <x:c r="B9" s="64" t="n">
        <x:f>MAX('Stage I'!S2:S4)</x:f>
        <x:v>51.54343263405672</x:v>
      </x:c>
    </x:row>
    <x:row r="10">
      <x:c r="A10" s="58" t="str">
        <x:v>Seeds per Stage II scenario</x:v>
      </x:c>
      <x:c r="B10" s="65" t="n">
        <x:f>'Wide Aggregate'!C2</x:f>
        <x:v>3</x:v>
      </x:c>
    </x:row>
    <x:row r="13" ht="34" customHeight="1">
      <x:c r="A13" s="12" t="str">
        <x:v>Traffic profile</x:v>
      </x:c>
      <x:c r="B13" s="14" t="str">
        <x:v>CLS gain (%)</x:v>
      </x:c>
    </x:row>
    <x:row r="14">
      <x:c r="A14" t="str">
        <x:f>'Stage I'!B2</x:f>
        <x:v>Sparse</x:v>
      </x:c>
      <x:c r="B14" s="76" t="n">
        <x:f>'Stage I'!S2</x:f>
        <x:v>26.62938774473914</x:v>
      </x:c>
    </x:row>
    <x:row r="15">
      <x:c r="A15" t="str">
        <x:f>'Stage I'!B3</x:f>
        <x:v>Clustered</x:v>
      </x:c>
      <x:c r="B15" s="76" t="n">
        <x:f>'Stage I'!S3</x:f>
        <x:v>34.81812544080474</x:v>
      </x:c>
    </x:row>
    <x:row r="16">
      <x:c r="A16" t="str">
        <x:f>'Stage I'!B4</x:f>
        <x:v>Skewed</x:v>
      </x:c>
      <x:c r="B16" s="76" t="n">
        <x:f>'Stage I'!S4</x:f>
        <x:v>51.54343263405672</x:v>
      </x:c>
    </x:row>
    <x:row r="20" ht="34" customHeight="1">
      <x:c r="A20" s="12" t="str">
        <x:v>Method</x:v>
      </x:c>
      <x:c r="B20" s="13" t="str">
        <x:v>HV mean</x:v>
      </x:c>
      <x:c r="C20" s="13" t="str">
        <x:v>IGD mean</x:v>
      </x:c>
      <x:c r="D20" s="13" t="str">
        <x:v>Best Q mean</x:v>
      </x:c>
      <x:c r="E20" s="14" t="str">
        <x:v>Seeds</x:v>
      </x:c>
    </x:row>
    <x:row r="21">
      <x:c r="A21" s="48" t="str">
        <x:f>'Main Aggregate'!B2</x:f>
        <x:v>NS-P</x:v>
      </x:c>
      <x:c r="B21" s="79" t="n">
        <x:f>'Main Aggregate'!D2</x:f>
        <x:v>0.9574027814187405</x:v>
      </x:c>
      <x:c r="C21" s="79" t="n">
        <x:f>'Main Aggregate'!F2</x:f>
        <x:v>0.04983864352716144</x:v>
      </x:c>
      <x:c r="D21" s="79" t="n">
        <x:f>'Main Aggregate'!H2</x:f>
        <x:v>0.29527171101966104</x:v>
      </x:c>
      <x:c r="E21" s="80" t="n">
        <x:f>'Main Aggregate'!C2</x:f>
        <x:v>3</x:v>
      </x:c>
    </x:row>
    <x:row r="22">
      <x:c r="A22" s="50" t="str">
        <x:f>'Main Aggregate'!B3</x:f>
        <x:v>GCP</x:v>
      </x:c>
      <x:c r="B22" s="81" t="n">
        <x:f>'Main Aggregate'!D3</x:f>
        <x:v>0.9798872696378845</x:v>
      </x:c>
      <x:c r="C22" s="81" t="n">
        <x:f>'Main Aggregate'!F3</x:f>
        <x:v>0.04464097839106649</x:v>
      </x:c>
      <x:c r="D22" s="81" t="n">
        <x:f>'Main Aggregate'!H3</x:f>
        <x:v>0.2800172908233785</x:v>
      </x:c>
      <x:c r="E22" s="82" t="n">
        <x:f>'Main Aggregate'!C3</x:f>
        <x:v>3</x:v>
      </x:c>
    </x:row>
    <x:row r="23">
      <x:c r="A23" s="50" t="str">
        <x:f>'Main Aggregate'!B4</x:f>
        <x:v>GDP</x:v>
      </x:c>
      <x:c r="B23" s="81" t="n">
        <x:f>'Main Aggregate'!D4</x:f>
        <x:v>0.9742293860614083</x:v>
      </x:c>
      <x:c r="C23" s="81" t="n">
        <x:f>'Main Aggregate'!F4</x:f>
        <x:v>0.04075749113934467</x:v>
      </x:c>
      <x:c r="D23" s="81" t="n">
        <x:f>'Main Aggregate'!H4</x:f>
        <x:v>0.2732792548637378</x:v>
      </x:c>
      <x:c r="E23" s="82" t="n">
        <x:f>'Main Aggregate'!C4</x:f>
        <x:v>3</x:v>
      </x:c>
    </x:row>
    <x:row r="24">
      <x:c r="A24" s="90" t="str">
        <x:f>'Main Aggregate'!B5</x:f>
        <x:v>PSP</x:v>
      </x:c>
      <x:c r="B24" s="91" t="n">
        <x:f>'Main Aggregate'!D5</x:f>
        <x:v>1.0115599611405184</x:v>
      </x:c>
      <x:c r="C24" s="91" t="n">
        <x:f>'Main Aggregate'!F5</x:f>
        <x:v>0.012927294478479968</x:v>
      </x:c>
      <x:c r="D24" s="91" t="n">
        <x:f>'Main Aggregate'!H5</x:f>
        <x:v>0.2678392228703066</x:v>
      </x:c>
      <x:c r="E24" s="92" t="n">
        <x:f>'Main Aggregate'!C5</x:f>
        <x:v>3</x:v>
      </x:c>
    </x:row>
    <x:row r="27" ht="34" customHeight="1">
      <x:c r="A27" s="12" t="str">
        <x:v>Metric directions and interpretation</x:v>
      </x:c>
      <x:c r="B27" s="13"/>
      <x:c r="C27" s="13"/>
      <x:c r="D27" s="13"/>
      <x:c r="E27" s="13"/>
      <x:c r="F27" s="14"/>
    </x:row>
    <x:row r="28" ht="30" customHeight="1">
      <x:c r="A28" s="97" t="str">
        <x:v>HV: higher is better; it measures the objective-space volume dominated by the obtained Pareto set.</x:v>
      </x:c>
      <x:c r="B28" s="97"/>
      <x:c r="C28" s="97"/>
      <x:c r="D28" s="97"/>
      <x:c r="E28" s="97"/>
      <x:c r="F28" s="97"/>
    </x:row>
    <x:row r="29" ht="30" customHeight="1">
      <x:c r="A29" s="100" t="str">
        <x:v>IGD: lower is better; it measures the average distance from a common reference front to the obtained Pareto set.</x:v>
      </x:c>
      <x:c r="B29" s="100"/>
      <x:c r="C29" s="100"/>
      <x:c r="D29" s="100"/>
      <x:c r="E29" s="100"/>
      <x:c r="F29" s="100"/>
    </x:row>
    <x:row r="30" ht="30" customHeight="1">
      <x:c r="A30" s="97" t="str">
        <x:v>Best Q: lower is better; Q is the equal-weight normalized cost-delay scalar used only as a representative compromise indicator.</x:v>
      </x:c>
      <x:c r="B30" s="97"/>
      <x:c r="C30" s="97"/>
      <x:c r="D30" s="97"/>
      <x:c r="E30" s="97"/>
      <x:c r="F30" s="97"/>
    </x:row>
    <x:row r="31" ht="30" customHeight="1">
      <x:c r="A31" s="100" t="str">
        <x:v>All Stage II aggregates report mean and sample standard deviation over seeds 42, 43, and 44.</x:v>
      </x:c>
      <x:c r="B31" s="100"/>
      <x:c r="C31" s="100"/>
      <x:c r="D31" s="100"/>
      <x:c r="E31" s="100"/>
      <x:c r="F31" s="100"/>
    </x:row>
  </x:sheetData>
  <x:mergeCells>
    <x:mergeCell ref="A1:N1"/>
    <x:mergeCell ref="A2:N2"/>
    <x:mergeCell ref="C4:F4"/>
    <x:mergeCell ref="C5:F5"/>
    <x:mergeCell ref="C6:F6"/>
    <x:mergeCell ref="C7:F7"/>
    <x:mergeCell ref="C8:F8"/>
    <x:mergeCell ref="A27:F27"/>
    <x:mergeCell ref="A28:F28"/>
    <x:mergeCell ref="A29:F29"/>
    <x:mergeCell ref="A30:F30"/>
    <x:mergeCell ref="A31:F31"/>
  </x:mergeCells>
  <x:pageMargins left="0.7" right="0.7" top="0.75" bottom="0.75" header="0.3" footer="0.3"/>
  <x:drawing xmlns:r="http://schemas.openxmlformats.org/officeDocument/2006/relationships" r:id="R44a73c0094cf4cc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34" hidden="0" customWidth="1"/>
    <x:col min="21" max="21" width="68" hidden="0" customWidth="1"/>
  </x:cols>
  <x:sheetData>
    <x:row r="1" ht="34" customHeight="1">
      <x:c r="A1" s="12" t="str">
        <x:v>Dataset</x:v>
      </x:c>
      <x:c r="B1" s="13" t="str">
        <x:v>SourceType</x:v>
      </x:c>
      <x:c r="C1" s="13" t="str">
        <x:v>Candidates</x:v>
      </x:c>
      <x:c r="D1" s="13" t="str">
        <x:v>Users</x:v>
      </x:c>
      <x:c r="E1" s="13" t="str">
        <x:v>SelectedServers</x:v>
      </x:c>
      <x:c r="F1" s="13" t="str">
        <x:v>CenterLng</x:v>
      </x:c>
      <x:c r="G1" s="13" t="str">
        <x:v>CenterLat</x:v>
      </x:c>
      <x:c r="H1" s="13" t="str">
        <x:v>CenterDistanceFromOriginalKm</x:v>
      </x:c>
      <x:c r="I1" s="13" t="str">
        <x:v>CandidateWidthKm</x:v>
      </x:c>
      <x:c r="J1" s="13" t="str">
        <x:v>CandidateHeightKm</x:v>
      </x:c>
      <x:c r="K1" s="13" t="str">
        <x:v>UserWidthKm</x:v>
      </x:c>
      <x:c r="L1" s="13" t="str">
        <x:v>UserHeightKm</x:v>
      </x:c>
      <x:c r="M1" s="13" t="str">
        <x:v>UserBBoxAreaKm2</x:v>
      </x:c>
      <x:c r="N1" s="13" t="str">
        <x:v>AreaScaleVsOriginal</x:v>
      </x:c>
      <x:c r="O1" s="13" t="str">
        <x:v>StationNNMeanKm</x:v>
      </x:c>
      <x:c r="P1" s="13" t="str">
        <x:v>UserNNMeanKm</x:v>
      </x:c>
      <x:c r="Q1" s="13" t="str">
        <x:v>CoverageDensityMean</x:v>
      </x:c>
      <x:c r="R1" s="13" t="str">
        <x:v>CoverageDensityCV</x:v>
      </x:c>
      <x:c r="S1" s="13" t="str">
        <x:v>ServiceTypes</x:v>
      </x:c>
      <x:c r="T1" s="13" t="str">
        <x:v>SelectedSolution</x:v>
      </x:c>
      <x:c r="U1" s="14" t="str">
        <x:v>DataFile</x:v>
      </x:c>
    </x:row>
    <x:row r="2">
      <x:c r="A2" s="19" t="str">
        <x:v>Original urban (Xizhimen)</x:v>
      </x:c>
      <x:c r="B2" s="19" t="str">
        <x:v>Original measured experiment data</x:v>
      </x:c>
      <x:c r="C2" s="22" t="n">
        <x:v>20</x:v>
      </x:c>
      <x:c r="D2" s="22" t="n">
        <x:v>130</x:v>
      </x:c>
      <x:c r="E2" s="22" t="n">
        <x:v>10</x:v>
      </x:c>
      <x:c r="F2" s="25" t="n">
        <x:v>116.347997085</x:v>
      </x:c>
      <x:c r="G2" s="25" t="n">
        <x:v>39.967660789499995</x:v>
      </x:c>
      <x:c r="H2" s="25" t="n">
        <x:v>0</x:v>
      </x:c>
      <x:c r="I2" s="25" t="n">
        <x:v>5.592226072123354</x:v>
      </x:c>
      <x:c r="J2" s="25" t="n">
        <x:v>6.878507042739674</x:v>
      </x:c>
      <x:c r="K2" s="25" t="n">
        <x:v>6.669625982426875</x:v>
      </x:c>
      <x:c r="L2" s="25" t="n">
        <x:v>8.593221767540241</x:v>
      </x:c>
      <x:c r="M2" s="25" t="n">
        <x:v>57.31357517354259</x:v>
      </x:c>
      <x:c r="N2" s="25" t="n">
        <x:v>1</x:v>
      </x:c>
      <x:c r="O2" s="25" t="n">
        <x:v>0.9450754085753704</x:v>
      </x:c>
      <x:c r="P2" s="25" t="n">
        <x:v>0.33946558311186587</x:v>
      </x:c>
      <x:c r="Q2" s="25" t="n">
        <x:v>15.9</x:v>
      </x:c>
      <x:c r="R2" s="25" t="n">
        <x:v>0.23355276261166216</x:v>
      </x:c>
      <x:c r="S2" s="22" t="n">
        <x:v>8</x:v>
      </x:c>
      <x:c r="T2" s="28" t="str">
        <x:v>8 2 1 10 17 4 6 7 12 15</x:v>
      </x:c>
      <x:c r="U2" s="28" t="str">
        <x:v>data/input_data_10_130_8_new.xlsx</x:v>
      </x:c>
    </x:row>
    <x:row r="3">
      <x:c r="A3" s="20" t="str">
        <x:v>Alternate real region</x:v>
      </x:c>
      <x:c r="B3" s="20" t="str">
        <x:v>Real stations + reproducible sparse traffic</x:v>
      </x:c>
      <x:c r="C3" s="23" t="n">
        <x:v>40</x:v>
      </x:c>
      <x:c r="D3" s="23" t="n">
        <x:v>130</x:v>
      </x:c>
      <x:c r="E3" s="23" t="n">
        <x:v>10</x:v>
      </x:c>
      <x:c r="F3" s="26" t="n">
        <x:v>116.11692386575001</x:v>
      </x:c>
      <x:c r="G3" s="26" t="n">
        <x:v>40.0944595605</x:v>
      </x:c>
      <x:c r="H3" s="26" t="n">
        <x:v>24.204440176574913</x:v>
      </x:c>
      <x:c r="I3" s="26" t="n">
        <x:v>5.435993337317006</x:v>
      </x:c>
      <x:c r="J3" s="26" t="n">
        <x:v>5.568993302327531</x:v>
      </x:c>
      <x:c r="K3" s="26" t="n">
        <x:v>6.700879580558766</x:v>
      </x:c>
      <x:c r="L3" s="26" t="n">
        <x:v>8.700121930631722</x:v>
      </x:c>
      <x:c r="M3" s="26" t="n">
        <x:v>58.29846939334161</x:v>
      </x:c>
      <x:c r="N3" s="26" t="n">
        <x:v>1.0171843095953588</x:v>
      </x:c>
      <x:c r="O3" s="26" t="n">
        <x:v>0.40379519713895584</x:v>
      </x:c>
      <x:c r="P3" s="26" t="n">
        <x:v>0.3348048563851351</x:v>
      </x:c>
      <x:c r="Q3" s="26" t="n">
        <x:v>26.15</x:v>
      </x:c>
      <x:c r="R3" s="26" t="n">
        <x:v>0.33594923772755814</x:v>
      </x:c>
      <x:c r="S3" s="23" t="n">
        <x:v>8</x:v>
      </x:c>
      <x:c r="T3" s="29" t="str">
        <x:v>0 2 8 16 19 29 35 37 38 39</x:v>
      </x:c>
      <x:c r="U3" s="29" t="str">
        <x:v>data/real_region/input_data_real_sparse_r04_c40_u130_k10_s1_8.xlsx</x:v>
      </x:c>
    </x:row>
    <x:row r="4">
      <x:c r="A4" s="20" t="str">
        <x:v>Expanded real region - Sparse</x:v>
      </x:c>
      <x:c r="B4" s="20" t="str">
        <x:v>Real stations + reproducible sparse traffic</x:v>
      </x:c>
      <x:c r="C4" s="23" t="n">
        <x:v>40</x:v>
      </x:c>
      <x:c r="D4" s="23" t="n">
        <x:v>130</x:v>
      </x:c>
      <x:c r="E4" s="23" t="n">
        <x:v>10</x:v>
      </x:c>
      <x:c r="F4" s="26" t="n">
        <x:v>116.11769362475002</x:v>
      </x:c>
      <x:c r="G4" s="26" t="n">
        <x:v>40.05726344</x:v>
      </x:c>
      <x:c r="H4" s="26" t="n">
        <x:v>21.999235615153545</x:v>
      </x:c>
      <x:c r="I4" s="26" t="n">
        <x:v>10.93366501416982</x:v>
      </x:c>
      <x:c r="J4" s="26" t="n">
        <x:v>10.083063656339474</x:v>
      </x:c>
      <x:c r="K4" s="26" t="n">
        <x:v>13.304663480633051</x:v>
      </x:c>
      <x:c r="L4" s="26" t="n">
        <x:v>12.401279773577391</x:v>
      </x:c>
      <x:c r="M4" s="26" t="n">
        <x:v>164.99485411662843</x:v>
      </x:c>
      <x:c r="N4" s="26" t="n">
        <x:v>2.8788093155423025</x:v>
      </x:c>
      <x:c r="O4" s="26" t="n">
        <x:v>0.5176285194941266</x:v>
      </x:c>
      <x:c r="P4" s="26" t="n">
        <x:v>0.5230890245909295</x:v>
      </x:c>
      <x:c r="Q4" s="26" t="n">
        <x:v>21.8</x:v>
      </x:c>
      <x:c r="R4" s="26" t="n">
        <x:v>0.5409344226975388</x:v>
      </x:c>
      <x:c r="S4" s="23" t="n">
        <x:v>8</x:v>
      </x:c>
      <x:c r="T4" s="29" t="str">
        <x:v>1 2 3 4 6 11 27 28 32 34</x:v>
      </x:c>
      <x:c r="U4" s="29" t="str">
        <x:v>data\real_region\input_data_real_review6_large_c40_u130_k10_sparse_r00_c40_u130_k10_s0_8.xlsx</x:v>
      </x:c>
    </x:row>
    <x:row r="5">
      <x:c r="A5" s="20" t="str">
        <x:v>Expanded real region - Clustered</x:v>
      </x:c>
      <x:c r="B5" s="20" t="str">
        <x:v>Real stations + reproducible clustered traffic</x:v>
      </x:c>
      <x:c r="C5" s="23" t="n">
        <x:v>40</x:v>
      </x:c>
      <x:c r="D5" s="23" t="n">
        <x:v>130</x:v>
      </x:c>
      <x:c r="E5" s="23" t="n">
        <x:v>10</x:v>
      </x:c>
      <x:c r="F5" s="26" t="n">
        <x:v>116.11769362475002</x:v>
      </x:c>
      <x:c r="G5" s="26" t="n">
        <x:v>40.05726344</x:v>
      </x:c>
      <x:c r="H5" s="26" t="n">
        <x:v>21.999235615153545</x:v>
      </x:c>
      <x:c r="I5" s="26" t="n">
        <x:v>10.93366501416982</x:v>
      </x:c>
      <x:c r="J5" s="26" t="n">
        <x:v>10.083063656339474</x:v>
      </x:c>
      <x:c r="K5" s="26" t="n">
        <x:v>11.556379405184245</x:v>
      </x:c>
      <x:c r="L5" s="26" t="n">
        <x:v>11.1548720636398</x:v>
      </x:c>
      <x:c r="M5" s="26" t="n">
        <x:v>128.90993378371206</x:v>
      </x:c>
      <x:c r="N5" s="26" t="n">
        <x:v>2.2492041962725122</x:v>
      </x:c>
      <x:c r="O5" s="26" t="n">
        <x:v>0.5176285194941266</x:v>
      </x:c>
      <x:c r="P5" s="26" t="n">
        <x:v>0.36584744578878586</x:v>
      </x:c>
      <x:c r="Q5" s="26" t="n">
        <x:v>34.85</x:v>
      </x:c>
      <x:c r="R5" s="26" t="n">
        <x:v>0.5343076123506448</x:v>
      </x:c>
      <x:c r="S5" s="23" t="n">
        <x:v>8</x:v>
      </x:c>
      <x:c r="T5" s="29" t="str">
        <x:v>1 2 3 5 6 10 11 21 32 36</x:v>
      </x:c>
      <x:c r="U5" s="29" t="str">
        <x:v>data\real_region\input_data_real_review6_large_c40_u130_k10_clustered_r00_c40_u130_k10_s0_8.xlsx</x:v>
      </x:c>
    </x:row>
    <x:row r="6">
      <x:c r="A6" s="21" t="str">
        <x:v>Expanded real region - Skewed</x:v>
      </x:c>
      <x:c r="B6" s="21" t="str">
        <x:v>Real stations + reproducible skewed traffic</x:v>
      </x:c>
      <x:c r="C6" s="24" t="n">
        <x:v>40</x:v>
      </x:c>
      <x:c r="D6" s="24" t="n">
        <x:v>130</x:v>
      </x:c>
      <x:c r="E6" s="24" t="n">
        <x:v>10</x:v>
      </x:c>
      <x:c r="F6" s="27" t="n">
        <x:v>116.11769362475002</x:v>
      </x:c>
      <x:c r="G6" s="27" t="n">
        <x:v>40.05726344</x:v>
      </x:c>
      <x:c r="H6" s="27" t="n">
        <x:v>21.999235615153545</x:v>
      </x:c>
      <x:c r="I6" s="27" t="n">
        <x:v>10.93366501416982</x:v>
      </x:c>
      <x:c r="J6" s="27" t="n">
        <x:v>10.083063656339474</x:v>
      </x:c>
      <x:c r="K6" s="27" t="n">
        <x:v>12.63013381237428</x:v>
      </x:c>
      <x:c r="L6" s="27" t="n">
        <x:v>11.077198108048028</x:v>
      </x:c>
      <x:c r="M6" s="27" t="n">
        <x:v>139.9064943708258</x:v>
      </x:c>
      <x:c r="N6" s="27" t="n">
        <x:v>2.441070792516364</x:v>
      </x:c>
      <x:c r="O6" s="27" t="n">
        <x:v>0.5176285194941266</x:v>
      </x:c>
      <x:c r="P6" s="27" t="n">
        <x:v>0.3636421545948974</x:v>
      </x:c>
      <x:c r="Q6" s="27" t="n">
        <x:v>38.25</x:v>
      </x:c>
      <x:c r="R6" s="27" t="n">
        <x:v>0.6000768885759548</x:v>
      </x:c>
      <x:c r="S6" s="24" t="n">
        <x:v>8</x:v>
      </x:c>
      <x:c r="T6" s="30" t="str">
        <x:v>1 2 3 5 6 13 18 34 36 39</x:v>
      </x:c>
      <x:c r="U6" s="30" t="str">
        <x:v>data\real_region\input_data_real_review6_large_c40_u130_k10_skewed_r00_c40_u130_k10_s0_8.xlsx</x:v>
      </x:c>
    </x:row>
  </x:sheetData>
  <x:pageMargins left="0.7" right="0.7" top="0.75" bottom="0.75" header="0.3" footer="0.3"/>
  <x:tableParts count="1">
    <x:tablePart xmlns:r="http://schemas.openxmlformats.org/officeDocument/2006/relationships" r:id="R13749724a5ad4dc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14" hidden="0" customWidth="1"/>
    <x:col min="3" max="3" width="6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34" hidden="0" customWidth="1"/>
  </x:cols>
  <x:sheetData>
    <x:row r="1" ht="34" customHeight="1">
      <x:c r="A1" s="12" t="str">
        <x:v>Config</x:v>
      </x:c>
      <x:c r="B1" s="13" t="str">
        <x:v>Scenario</x:v>
      </x:c>
      <x:c r="C1" s="13" t="str">
        <x:v>DataFile</x:v>
      </x:c>
      <x:c r="D1" s="13" t="str">
        <x:v>Users</x:v>
      </x:c>
      <x:c r="E1" s="13" t="str">
        <x:v>Candidates</x:v>
      </x:c>
      <x:c r="F1" s="13" t="str">
        <x:v>TargetServers</x:v>
      </x:c>
      <x:c r="G1" s="13" t="str">
        <x:v>ResolvedK</x:v>
      </x:c>
      <x:c r="H1" s="13" t="str">
        <x:v>SigmaMin</x:v>
      </x:c>
      <x:c r="I1" s="13" t="str">
        <x:v>N2Adjust</x:v>
      </x:c>
      <x:c r="J1" s="13" t="str">
        <x:v>N2Raw</x:v>
      </x:c>
      <x:c r="K1" s="13" t="str">
        <x:v>CLSCost</x:v>
      </x:c>
      <x:c r="L1" s="13" t="str">
        <x:v>RandomMeanCost</x:v>
      </x:c>
      <x:c r="M1" s="13" t="str">
        <x:v>RandomBestCost</x:v>
      </x:c>
      <x:c r="N1" s="13" t="str">
        <x:v>DensityCost</x:v>
      </x:c>
      <x:c r="O1" s="13" t="str">
        <x:v>DistSumCost</x:v>
      </x:c>
      <x:c r="P1" s="13" t="str">
        <x:v>GreedyCost</x:v>
      </x:c>
      <x:c r="Q1" s="13" t="str">
        <x:v>DiverseInitCost</x:v>
      </x:c>
      <x:c r="R1" s="13" t="str">
        <x:v>BestBaselineCost</x:v>
      </x:c>
      <x:c r="S1" s="13" t="str">
        <x:v>CLSAdvantagePct</x:v>
      </x:c>
      <x:c r="T1" s="14" t="str">
        <x:v>SelectedSolution</x:v>
      </x:c>
    </x:row>
    <x:row r="2">
      <x:c r="A2" s="19" t="str">
        <x:v>real_review6_large_c40_u130_k10_sparse_r00_c40_u130_k10_s0</x:v>
      </x:c>
      <x:c r="B2" s="19" t="str">
        <x:v>Sparse</x:v>
      </x:c>
      <x:c r="C2" s="28" t="str">
        <x:v>data\real_region\input_data_real_review6_large_c40_u130_k10_sparse_r00_c40_u130_k10_s0_8.xlsx</x:v>
      </x:c>
      <x:c r="D2" s="22" t="n">
        <x:v>130</x:v>
      </x:c>
      <x:c r="E2" s="22" t="n">
        <x:v>40</x:v>
      </x:c>
      <x:c r="F2" s="22" t="n">
        <x:v>10</x:v>
      </x:c>
      <x:c r="G2" s="22" t="n">
        <x:v>10</x:v>
      </x:c>
      <x:c r="H2" s="22" t="n">
        <x:v>34</x:v>
      </x:c>
      <x:c r="I2" s="22" t="n">
        <x:v>1</x:v>
      </x:c>
      <x:c r="J2" s="19" t="n">
        <x:v>9</x:v>
      </x:c>
      <x:c r="K2" s="31" t="n">
        <x:v>23479.462593004788</x:v>
      </x:c>
      <x:c r="L2" s="31" t="n">
        <x:v>56037.05911360542</x:v>
      </x:c>
      <x:c r="M2" s="31" t="n">
        <x:v>32001.18122405507</x:v>
      </x:c>
      <x:c r="N2" s="25" t="n">
        <x:v>96363.29922074698</x:v>
      </x:c>
      <x:c r="O2" s="31" t="n">
        <x:v>88311.39554705836</x:v>
      </x:c>
      <x:c r="P2" s="31" t="n">
        <x:v>88289.46489516788</x:v>
      </x:c>
      <x:c r="Q2" s="31" t="n">
        <x:v>96359.68333939316</x:v>
      </x:c>
      <x:c r="R2" s="31" t="n">
        <x:v>32001.18122405507</x:v>
      </x:c>
      <x:c r="S2" s="34" t="n">
        <x:v>26.62938774473914</x:v>
      </x:c>
      <x:c r="T2" s="28" t="str">
        <x:v>1 2 3 4 6 11 27 28 32 34</x:v>
      </x:c>
    </x:row>
    <x:row r="3">
      <x:c r="A3" s="20" t="str">
        <x:v>real_review6_large_c40_u130_k10_clustered_r00_c40_u130_k10_s0</x:v>
      </x:c>
      <x:c r="B3" s="20" t="str">
        <x:v>Clustered</x:v>
      </x:c>
      <x:c r="C3" s="29" t="str">
        <x:v>data\real_region\input_data_real_review6_large_c40_u130_k10_clustered_r00_c40_u130_k10_s0_8.xlsx</x:v>
      </x:c>
      <x:c r="D3" s="23" t="n">
        <x:v>130</x:v>
      </x:c>
      <x:c r="E3" s="23" t="n">
        <x:v>40</x:v>
      </x:c>
      <x:c r="F3" s="23" t="n">
        <x:v>10</x:v>
      </x:c>
      <x:c r="G3" s="23" t="n">
        <x:v>10</x:v>
      </x:c>
      <x:c r="H3" s="23" t="n">
        <x:v>53</x:v>
      </x:c>
      <x:c r="I3" s="23" t="n">
        <x:v>-1</x:v>
      </x:c>
      <x:c r="J3" s="20" t="n">
        <x:v>11</x:v>
      </x:c>
      <x:c r="K3" s="32" t="n">
        <x:v>7859.988270256739</x:v>
      </x:c>
      <x:c r="L3" s="32" t="n">
        <x:v>30051.7370693536</x:v>
      </x:c>
      <x:c r="M3" s="32" t="n">
        <x:v>12058.548980696543</x:v>
      </x:c>
      <x:c r="N3" s="26" t="n">
        <x:v>67488.08238000606</x:v>
      </x:c>
      <x:c r="O3" s="32" t="n">
        <x:v>60671.5263880448</x:v>
      </x:c>
      <x:c r="P3" s="32" t="n">
        <x:v>61963.594632135</x:v>
      </x:c>
      <x:c r="Q3" s="32" t="n">
        <x:v>67408.63198425216</x:v>
      </x:c>
      <x:c r="R3" s="32" t="n">
        <x:v>12058.548980696543</x:v>
      </x:c>
      <x:c r="S3" s="35" t="n">
        <x:v>34.81812544080474</x:v>
      </x:c>
      <x:c r="T3" s="29" t="str">
        <x:v>1 2 3 5 6 10 11 21 32 36</x:v>
      </x:c>
    </x:row>
    <x:row r="4">
      <x:c r="A4" s="21" t="str">
        <x:v>real_review6_large_c40_u130_k10_skewed_r00_c40_u130_k10_s0</x:v>
      </x:c>
      <x:c r="B4" s="21" t="str">
        <x:v>Skewed</x:v>
      </x:c>
      <x:c r="C4" s="30" t="str">
        <x:v>data\real_region\input_data_real_review6_large_c40_u130_k10_skewed_r00_c40_u130_k10_s0_8.xlsx</x:v>
      </x:c>
      <x:c r="D4" s="24" t="n">
        <x:v>130</x:v>
      </x:c>
      <x:c r="E4" s="24" t="n">
        <x:v>40</x:v>
      </x:c>
      <x:c r="F4" s="24" t="n">
        <x:v>10</x:v>
      </x:c>
      <x:c r="G4" s="24" t="n">
        <x:v>10</x:v>
      </x:c>
      <x:c r="H4" s="24" t="n">
        <x:v>62</x:v>
      </x:c>
      <x:c r="I4" s="24" t="n">
        <x:v>2</x:v>
      </x:c>
      <x:c r="J4" s="21" t="n">
        <x:v>8</x:v>
      </x:c>
      <x:c r="K4" s="33" t="n">
        <x:v>4924.367080066736</x:v>
      </x:c>
      <x:c r="L4" s="33" t="n">
        <x:v>21848.494929271863</x:v>
      </x:c>
      <x:c r="M4" s="33" t="n">
        <x:v>10162.434831336665</x:v>
      </x:c>
      <x:c r="N4" s="27" t="n">
        <x:v>50534.86208672899</x:v>
      </x:c>
      <x:c r="O4" s="33" t="n">
        <x:v>52278.74200669049</x:v>
      </x:c>
      <x:c r="P4" s="33" t="n">
        <x:v>51615.17907970359</x:v>
      </x:c>
      <x:c r="Q4" s="33" t="n">
        <x:v>50534.86208672898</x:v>
      </x:c>
      <x:c r="R4" s="33" t="n">
        <x:v>10162.434831336665</x:v>
      </x:c>
      <x:c r="S4" s="36" t="n">
        <x:v>51.54343263405672</x:v>
      </x:c>
      <x:c r="T4" s="30" t="str">
        <x:v>1 2 3 5 6 13 18 34 36 39</x:v>
      </x:c>
    </x:row>
  </x:sheetData>
  <x:pageMargins left="0.7" right="0.7" top="0.75" bottom="0.75" header="0.3" footer="0.3"/>
  <x:tableParts count="1">
    <x:tablePart xmlns:r="http://schemas.openxmlformats.org/officeDocument/2006/relationships" r:id="R9ec1eb771ee24de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</x:cols>
  <x:sheetData>
    <x:row r="1" ht="34" customHeight="1">
      <x:c r="A1" s="12" t="str">
        <x:v>Scenario</x:v>
      </x:c>
      <x:c r="B1" s="13" t="str">
        <x:v>Method</x:v>
      </x:c>
      <x:c r="C1" s="13" t="str">
        <x:v>Seeds</x:v>
      </x:c>
      <x:c r="D1" s="13" t="str">
        <x:v>HVMean</x:v>
      </x:c>
      <x:c r="E1" s="13" t="str">
        <x:v>HVStd</x:v>
      </x:c>
      <x:c r="F1" s="13" t="str">
        <x:v>IGDMean</x:v>
      </x:c>
      <x:c r="G1" s="13" t="str">
        <x:v>IGDStd</x:v>
      </x:c>
      <x:c r="H1" s="13" t="str">
        <x:v>BestQMean</x:v>
      </x:c>
      <x:c r="I1" s="14" t="str">
        <x:v>BestQStd</x:v>
      </x:c>
    </x:row>
    <x:row r="2">
      <x:c r="A2" s="19" t="str">
        <x:v>clustered</x:v>
      </x:c>
      <x:c r="B2" s="19" t="str">
        <x:v>NS-P</x:v>
      </x:c>
      <x:c r="C2" s="22" t="n">
        <x:v>3</x:v>
      </x:c>
      <x:c r="D2" s="25" t="n">
        <x:v>0.9708</x:v>
      </x:c>
      <x:c r="E2" s="25" t="n">
        <x:v>0.01625299972312801</x:v>
      </x:c>
      <x:c r="F2" s="25" t="n">
        <x:v>0.0345</x:v>
      </x:c>
      <x:c r="G2" s="25" t="n">
        <x:v>0.014729901561110313</x:v>
      </x:c>
      <x:c r="H2" s="25" t="n">
        <x:v>0.26896666666666663</x:v>
      </x:c>
      <x:c r="I2" s="25" t="n">
        <x:v>0.009700687260876603</x:v>
      </x:c>
    </x:row>
    <x:row r="3">
      <x:c r="A3" s="20" t="str">
        <x:v>clustered</x:v>
      </x:c>
      <x:c r="B3" s="20" t="str">
        <x:v>GCP</x:v>
      </x:c>
      <x:c r="C3" s="23" t="n">
        <x:v>3</x:v>
      </x:c>
      <x:c r="D3" s="26" t="n">
        <x:v>1.0103666666666666</x:v>
      </x:c>
      <x:c r="E3" s="26" t="n">
        <x:v>0.019154720915046868</x:v>
      </x:c>
      <x:c r="F3" s="26" t="n">
        <x:v>0.0086</x:v>
      </x:c>
      <x:c r="G3" s="26" t="n">
        <x:v>0.006077005841695399</x:v>
      </x:c>
      <x:c r="H3" s="26" t="n">
        <x:v>0.2558333333333333</x:v>
      </x:c>
      <x:c r="I3" s="26" t="n">
        <x:v>0.011673188653205827</x:v>
      </x:c>
    </x:row>
    <x:row r="4">
      <x:c r="A4" s="20" t="str">
        <x:v>clustered</x:v>
      </x:c>
      <x:c r="B4" s="20" t="str">
        <x:v>GDP</x:v>
      </x:c>
      <x:c r="C4" s="23" t="n">
        <x:v>3</x:v>
      </x:c>
      <x:c r="D4" s="26" t="n">
        <x:v>0.9583666666666666</x:v>
      </x:c>
      <x:c r="E4" s="26" t="n">
        <x:v>0.038996709262876635</x:v>
      </x:c>
      <x:c r="F4" s="26" t="n">
        <x:v>0.03273333333333333</x:v>
      </x:c>
      <x:c r="G4" s="26" t="n">
        <x:v>0.021286693809357368</x:v>
      </x:c>
      <x:c r="H4" s="26" t="n">
        <x:v>0.2666</x:v>
      </x:c>
      <x:c r="I4" s="26" t="n">
        <x:v>0.007847929663293373</x:v>
      </x:c>
    </x:row>
    <x:row r="5">
      <x:c r="A5" s="20" t="str">
        <x:v>clustered</x:v>
      </x:c>
      <x:c r="B5" s="20" t="str">
        <x:v>PSP</x:v>
      </x:c>
      <x:c r="C5" s="23" t="n">
        <x:v>3</x:v>
      </x:c>
      <x:c r="D5" s="26" t="n">
        <x:v>0.952</x:v>
      </x:c>
      <x:c r="E5" s="26" t="n">
        <x:v>0.03980263810352274</x:v>
      </x:c>
      <x:c r="F5" s="26" t="n">
        <x:v>0.043166666666666666</x:v>
      </x:c>
      <x:c r="G5" s="26" t="n">
        <x:v>0.023991734687873932</x:v>
      </x:c>
      <x:c r="H5" s="26" t="n">
        <x:v>0.26306666666666667</x:v>
      </x:c>
      <x:c r="I5" s="26" t="n">
        <x:v>0.007050059101407127</x:v>
      </x:c>
    </x:row>
    <x:row r="6">
      <x:c r="A6" s="20" t="str">
        <x:v>skewed</x:v>
      </x:c>
      <x:c r="B6" s="20" t="str">
        <x:v>NS-P</x:v>
      </x:c>
      <x:c r="C6" s="23" t="n">
        <x:v>3</x:v>
      </x:c>
      <x:c r="D6" s="26" t="n">
        <x:v>0.9886</x:v>
      </x:c>
      <x:c r="E6" s="26" t="n">
        <x:v>0.06381402667125777</x:v>
      </x:c>
      <x:c r="F6" s="26" t="n">
        <x:v>0.055</x:v>
      </x:c>
      <x:c r="G6" s="26" t="n">
        <x:v>0.010828203913853859</x:v>
      </x:c>
      <x:c r="H6" s="26" t="n">
        <x:v>0.22643333333333335</x:v>
      </x:c>
      <x:c r="I6" s="26" t="n">
        <x:v>0.035532848652104064</x:v>
      </x:c>
    </x:row>
    <x:row r="7">
      <x:c r="A7" s="20" t="str">
        <x:v>skewed</x:v>
      </x:c>
      <x:c r="B7" s="20" t="str">
        <x:v>GCP</x:v>
      </x:c>
      <x:c r="C7" s="23" t="n">
        <x:v>3</x:v>
      </x:c>
      <x:c r="D7" s="26" t="n">
        <x:v>1.0668666666666666</x:v>
      </x:c>
      <x:c r="E7" s="26" t="n">
        <x:v>0.029269836578521127</x:v>
      </x:c>
      <x:c r="F7" s="26" t="n">
        <x:v>0.007833333333333333</x:v>
      </x:c>
      <x:c r="G7" s="26" t="n">
        <x:v>0.003426854728950927</x:v>
      </x:c>
      <x:c r="H7" s="26" t="n">
        <x:v>0.20893333333333333</x:v>
      </x:c>
      <x:c r="I7" s="26" t="n">
        <x:v>0.03598726626646338</x:v>
      </x:c>
    </x:row>
    <x:row r="8">
      <x:c r="A8" s="20" t="str">
        <x:v>skewed</x:v>
      </x:c>
      <x:c r="B8" s="20" t="str">
        <x:v>GDP</x:v>
      </x:c>
      <x:c r="C8" s="23" t="n">
        <x:v>3</x:v>
      </x:c>
      <x:c r="D8" s="26" t="n">
        <x:v>1.0523</x:v>
      </x:c>
      <x:c r="E8" s="26" t="n">
        <x:v>0.039196811094781646</x:v>
      </x:c>
      <x:c r="F8" s="26" t="n">
        <x:v>0.021533333333333335</x:v>
      </x:c>
      <x:c r="G8" s="26" t="n">
        <x:v>0.01419941313341271</x:v>
      </x:c>
      <x:c r="H8" s="26" t="n">
        <x:v>0.21396666666666667</x:v>
      </x:c>
      <x:c r="I8" s="26" t="n">
        <x:v>0.0355038495565387</x:v>
      </x:c>
    </x:row>
    <x:row r="9">
      <x:c r="A9" s="20" t="str">
        <x:v>skewed</x:v>
      </x:c>
      <x:c r="B9" s="20" t="str">
        <x:v>PSP</x:v>
      </x:c>
      <x:c r="C9" s="23" t="n">
        <x:v>3</x:v>
      </x:c>
      <x:c r="D9" s="26" t="n">
        <x:v>1.0202666666666669</x:v>
      </x:c>
      <x:c r="E9" s="26" t="n">
        <x:v>0.05776965754903987</x:v>
      </x:c>
      <x:c r="F9" s="26" t="n">
        <x:v>0.04176666666666667</x:v>
      </x:c>
      <x:c r="G9" s="26" t="n">
        <x:v>0.01626478814289732</x:v>
      </x:c>
      <x:c r="H9" s="26" t="n">
        <x:v>0.21846666666666667</x:v>
      </x:c>
      <x:c r="I9" s="26" t="n">
        <x:v>0.037654260493778575</x:v>
      </x:c>
    </x:row>
    <x:row r="10">
      <x:c r="A10" s="20" t="str">
        <x:v>sparse</x:v>
      </x:c>
      <x:c r="B10" s="20" t="str">
        <x:v>NS-P</x:v>
      </x:c>
      <x:c r="C10" s="23" t="n">
        <x:v>3</x:v>
      </x:c>
      <x:c r="D10" s="26" t="n">
        <x:v>0.9610333333333333</x:v>
      </x:c>
      <x:c r="E10" s="26" t="n">
        <x:v>0.054452762403144665</x:v>
      </x:c>
      <x:c r="F10" s="26" t="n">
        <x:v>0.046066666666666665</x:v>
      </x:c>
      <x:c r="G10" s="26" t="n">
        <x:v>0.02413386279345545</x:v>
      </x:c>
      <x:c r="H10" s="26" t="n">
        <x:v>0.25343333333333334</x:v>
      </x:c>
      <x:c r="I10" s="26" t="n">
        <x:v>0.02157367222642758</x:v>
      </x:c>
    </x:row>
    <x:row r="11">
      <x:c r="A11" s="20" t="str">
        <x:v>sparse</x:v>
      </x:c>
      <x:c r="B11" s="20" t="str">
        <x:v>GCP</x:v>
      </x:c>
      <x:c r="C11" s="23" t="n">
        <x:v>3</x:v>
      </x:c>
      <x:c r="D11" s="26" t="n">
        <x:v>0.9533333333333335</x:v>
      </x:c>
      <x:c r="E11" s="26" t="n">
        <x:v>0.011599281586948977</x:v>
      </x:c>
      <x:c r="F11" s="26" t="n">
        <x:v>0.06236666666666666</x:v>
      </x:c>
      <x:c r="G11" s="26" t="n">
        <x:v>0.0269386958357923</x:v>
      </x:c>
      <x:c r="H11" s="26" t="n">
        <x:v>0.2658333333333333</x:v>
      </x:c>
      <x:c r="I11" s="26" t="n">
        <x:v>0.01703652938052036</x:v>
      </x:c>
    </x:row>
    <x:row r="12">
      <x:c r="A12" s="20" t="str">
        <x:v>sparse</x:v>
      </x:c>
      <x:c r="B12" s="20" t="str">
        <x:v>GDP</x:v>
      </x:c>
      <x:c r="C12" s="23" t="n">
        <x:v>3</x:v>
      </x:c>
      <x:c r="D12" s="26" t="n">
        <x:v>0.9780666666666668</x:v>
      </x:c>
      <x:c r="E12" s="26" t="n">
        <x:v>0.025272580662317246</x:v>
      </x:c>
      <x:c r="F12" s="26" t="n">
        <x:v>0.03966666666666667</x:v>
      </x:c>
      <x:c r="G12" s="26" t="n">
        <x:v>0.008348253310323864</x:v>
      </x:c>
      <x:c r="H12" s="26" t="n">
        <x:v>0.24213333333333334</x:v>
      </x:c>
      <x:c r="I12" s="26" t="n">
        <x:v>0.019560248805506886</x:v>
      </x:c>
    </x:row>
    <x:row r="13">
      <x:c r="A13" s="21" t="str">
        <x:v>sparse</x:v>
      </x:c>
      <x:c r="B13" s="21" t="str">
        <x:v>PSP</x:v>
      </x:c>
      <x:c r="C13" s="24" t="n">
        <x:v>3</x:v>
      </x:c>
      <x:c r="D13" s="27" t="n">
        <x:v>0.9480666666666666</x:v>
      </x:c>
      <x:c r="E13" s="27" t="n">
        <x:v>0.023419934528801156</x:v>
      </x:c>
      <x:c r="F13" s="27" t="n">
        <x:v>0.05346666666666666</x:v>
      </x:c>
      <x:c r="G13" s="27" t="n">
        <x:v>0.005150080905513361</x:v>
      </x:c>
      <x:c r="H13" s="27" t="n">
        <x:v>0.2581</x:v>
      </x:c>
      <x:c r="I13" s="27" t="n">
        <x:v>0.018919830866051635</x:v>
      </x:c>
    </x:row>
  </x:sheetData>
  <x:pageMargins left="0.7" right="0.7" top="0.75" bottom="0.75" header="0.3" footer="0.3"/>
  <x:tableParts count="1">
    <x:tablePart xmlns:r="http://schemas.openxmlformats.org/officeDocument/2006/relationships" r:id="Rdbefef6a88e74e5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14" hidden="0" customWidth="1"/>
    <x:col min="3" max="3" width="13" hidden="0" customWidth="1"/>
    <x:col min="4" max="4" width="1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12" t="str">
        <x:v>Config</x:v>
      </x:c>
      <x:c r="B1" s="13" t="str">
        <x:v>Scenario</x:v>
      </x:c>
      <x:c r="C1" s="13" t="str">
        <x:v>Seed</x:v>
      </x:c>
      <x:c r="D1" s="13" t="str">
        <x:v>Method</x:v>
      </x:c>
      <x:c r="E1" s="13" t="str">
        <x:v>HV</x:v>
      </x:c>
      <x:c r="F1" s="13" t="str">
        <x:v>IGD</x:v>
      </x:c>
      <x:c r="G1" s="13" t="str">
        <x:v>Spacing</x:v>
      </x:c>
      <x:c r="H1" s="13" t="str">
        <x:v>BestQ</x:v>
      </x:c>
      <x:c r="I1" s="13" t="str">
        <x:v>BestFrontQ</x:v>
      </x:c>
      <x:c r="J1" s="13" t="str">
        <x:v>ParetoCount</x:v>
      </x:c>
      <x:c r="K1" s="13" t="str">
        <x:v>SolutionCount</x:v>
      </x:c>
      <x:c r="L1" s="13" t="str">
        <x:v>BestCostNorm</x:v>
      </x:c>
      <x:c r="M1" s="14" t="str">
        <x:v>BestDelayNorm</x:v>
      </x:c>
    </x:row>
    <x:row r="2">
      <x:c r="A2" s="19" t="str">
        <x:v>real_review6_large_c40_u130_k10_clustered_r00_c40_u130_k10_s0</x:v>
      </x:c>
      <x:c r="B2" s="19" t="str">
        <x:v>clustered</x:v>
      </x:c>
      <x:c r="C2" s="22" t="n">
        <x:v>42</x:v>
      </x:c>
      <x:c r="D2" s="19" t="str">
        <x:v>NS-P</x:v>
      </x:c>
      <x:c r="E2" s="25" t="n">
        <x:v>0.9584</x:v>
      </x:c>
      <x:c r="F2" s="25" t="n">
        <x:v>0.0473</x:v>
      </x:c>
      <x:c r="G2" s="25" t="n">
        <x:v>0.012</x:v>
      </x:c>
      <x:c r="H2" s="25" t="n">
        <x:v>0.2592</x:v>
      </x:c>
      <x:c r="I2" s="25" t="n">
        <x:v>0.2592</x:v>
      </x:c>
      <x:c r="J2" s="22" t="n">
        <x:v>50</x:v>
      </x:c>
      <x:c r="K2" s="22" t="n">
        <x:v>50</x:v>
      </x:c>
      <x:c r="L2" s="31" t="n">
        <x:v>0.0794</x:v>
      </x:c>
      <x:c r="M2" s="25" t="n">
        <x:v>0.0341</x:v>
      </x:c>
    </x:row>
    <x:row r="3">
      <x:c r="A3" s="20" t="str">
        <x:v>real_review6_large_c40_u130_k10_clustered_r00_c40_u130_k10_s0</x:v>
      </x:c>
      <x:c r="B3" s="20" t="str">
        <x:v>clustered</x:v>
      </x:c>
      <x:c r="C3" s="23" t="n">
        <x:v>42</x:v>
      </x:c>
      <x:c r="D3" s="20" t="str">
        <x:v>GCP</x:v>
      </x:c>
      <x:c r="E3" s="26" t="n">
        <x:v>1.026</x:v>
      </x:c>
      <x:c r="F3" s="26" t="n">
        <x:v>0.0018</x:v>
      </x:c>
      <x:c r="G3" s="26" t="n">
        <x:v>0.0081</x:v>
      </x:c>
      <x:c r="H3" s="26" t="n">
        <x:v>0.2496</x:v>
      </x:c>
      <x:c r="I3" s="26" t="n">
        <x:v>0.2496</x:v>
      </x:c>
      <x:c r="J3" s="23" t="n">
        <x:v>50</x:v>
      </x:c>
      <x:c r="K3" s="23" t="n">
        <x:v>50</x:v>
      </x:c>
      <x:c r="L3" s="32" t="n">
        <x:v>0</x:v>
      </x:c>
      <x:c r="M3" s="26" t="n">
        <x:v>0</x:v>
      </x:c>
    </x:row>
    <x:row r="4">
      <x:c r="A4" s="20" t="str">
        <x:v>real_review6_large_c40_u130_k10_clustered_r00_c40_u130_k10_s0</x:v>
      </x:c>
      <x:c r="B4" s="20" t="str">
        <x:v>clustered</x:v>
      </x:c>
      <x:c r="C4" s="23" t="n">
        <x:v>42</x:v>
      </x:c>
      <x:c r="D4" s="20" t="str">
        <x:v>GDP</x:v>
      </x:c>
      <x:c r="E4" s="26" t="n">
        <x:v>0.9241</x:v>
      </x:c>
      <x:c r="F4" s="26" t="n">
        <x:v>0.0504</x:v>
      </x:c>
      <x:c r="G4" s="26" t="n">
        <x:v>0.0113</x:v>
      </x:c>
      <x:c r="H4" s="26" t="n">
        <x:v>0.2676</x:v>
      </x:c>
      <x:c r="I4" s="26" t="n">
        <x:v>0.2676</x:v>
      </x:c>
      <x:c r="J4" s="23" t="n">
        <x:v>50</x:v>
      </x:c>
      <x:c r="K4" s="23" t="n">
        <x:v>50</x:v>
      </x:c>
      <x:c r="L4" s="32" t="n">
        <x:v>0.1189</x:v>
      </x:c>
      <x:c r="M4" s="26" t="n">
        <x:v>0.0478</x:v>
      </x:c>
    </x:row>
    <x:row r="5">
      <x:c r="A5" s="20" t="str">
        <x:v>real_review6_large_c40_u130_k10_clustered_r00_c40_u130_k10_s0</x:v>
      </x:c>
      <x:c r="B5" s="20" t="str">
        <x:v>clustered</x:v>
      </x:c>
      <x:c r="C5" s="23" t="n">
        <x:v>42</x:v>
      </x:c>
      <x:c r="D5" s="20" t="str">
        <x:v>PSP</x:v>
      </x:c>
      <x:c r="E5" s="26" t="n">
        <x:v>0.908</x:v>
      </x:c>
      <x:c r="F5" s="26" t="n">
        <x:v>0.0663</x:v>
      </x:c>
      <x:c r="G5" s="26" t="n">
        <x:v>0.0106</x:v>
      </x:c>
      <x:c r="H5" s="26" t="n">
        <x:v>0.2587</x:v>
      </x:c>
      <x:c r="I5" s="26" t="n">
        <x:v>0.2587</x:v>
      </x:c>
      <x:c r="J5" s="23" t="n">
        <x:v>50</x:v>
      </x:c>
      <x:c r="K5" s="23" t="n">
        <x:v>50</x:v>
      </x:c>
      <x:c r="L5" s="32" t="n">
        <x:v>0.162</x:v>
      </x:c>
      <x:c r="M5" s="26" t="n">
        <x:v>0.0535</x:v>
      </x:c>
    </x:row>
    <x:row r="6">
      <x:c r="A6" s="20" t="str">
        <x:v>real_review6_large_c40_u130_k10_clustered_r00_c40_u130_k10_s0</x:v>
      </x:c>
      <x:c r="B6" s="20" t="str">
        <x:v>clustered</x:v>
      </x:c>
      <x:c r="C6" s="23" t="n">
        <x:v>43</x:v>
      </x:c>
      <x:c r="D6" s="20" t="str">
        <x:v>NS-P</x:v>
      </x:c>
      <x:c r="E6" s="26" t="n">
        <x:v>0.9648</x:v>
      </x:c>
      <x:c r="F6" s="26" t="n">
        <x:v>0.0378</x:v>
      </x:c>
      <x:c r="G6" s="26" t="n">
        <x:v>0.0087</x:v>
      </x:c>
      <x:c r="H6" s="26" t="n">
        <x:v>0.2691</x:v>
      </x:c>
      <x:c r="I6" s="26" t="n">
        <x:v>0.2691</x:v>
      </x:c>
      <x:c r="J6" s="23" t="n">
        <x:v>50</x:v>
      </x:c>
      <x:c r="K6" s="23" t="n">
        <x:v>50</x:v>
      </x:c>
      <x:c r="L6" s="32" t="n">
        <x:v>0</x:v>
      </x:c>
      <x:c r="M6" s="26" t="n">
        <x:v>0.0717</x:v>
      </x:c>
    </x:row>
    <x:row r="7">
      <x:c r="A7" s="20" t="str">
        <x:v>real_review6_large_c40_u130_k10_clustered_r00_c40_u130_k10_s0</x:v>
      </x:c>
      <x:c r="B7" s="20" t="str">
        <x:v>clustered</x:v>
      </x:c>
      <x:c r="C7" s="23" t="n">
        <x:v>43</x:v>
      </x:c>
      <x:c r="D7" s="20" t="str">
        <x:v>GCP</x:v>
      </x:c>
      <x:c r="E7" s="26" t="n">
        <x:v>1.0161</x:v>
      </x:c>
      <x:c r="F7" s="26" t="n">
        <x:v>0.0105</x:v>
      </x:c>
      <x:c r="G7" s="26" t="n">
        <x:v>0.0098</x:v>
      </x:c>
      <x:c r="H7" s="26" t="n">
        <x:v>0.2486</x:v>
      </x:c>
      <x:c r="I7" s="26" t="n">
        <x:v>0.2486</x:v>
      </x:c>
      <x:c r="J7" s="23" t="n">
        <x:v>50</x:v>
      </x:c>
      <x:c r="K7" s="23" t="n">
        <x:v>50</x:v>
      </x:c>
      <x:c r="L7" s="32" t="n">
        <x:v>0.0434</x:v>
      </x:c>
      <x:c r="M7" s="26" t="n">
        <x:v>0</x:v>
      </x:c>
    </x:row>
    <x:row r="8">
      <x:c r="A8" s="20" t="str">
        <x:v>real_review6_large_c40_u130_k10_clustered_r00_c40_u130_k10_s0</x:v>
      </x:c>
      <x:c r="B8" s="20" t="str">
        <x:v>clustered</x:v>
      </x:c>
      <x:c r="C8" s="23" t="n">
        <x:v>43</x:v>
      </x:c>
      <x:c r="D8" s="20" t="str">
        <x:v>GDP</x:v>
      </x:c>
      <x:c r="E8" s="26" t="n">
        <x:v>0.9502</x:v>
      </x:c>
      <x:c r="F8" s="26" t="n">
        <x:v>0.0387</x:v>
      </x:c>
      <x:c r="G8" s="26" t="n">
        <x:v>0.0082</x:v>
      </x:c>
      <x:c r="H8" s="26" t="n">
        <x:v>0.2583</x:v>
      </x:c>
      <x:c r="I8" s="26" t="n">
        <x:v>0.2583</x:v>
      </x:c>
      <x:c r="J8" s="23" t="n">
        <x:v>50</x:v>
      </x:c>
      <x:c r="K8" s="23" t="n">
        <x:v>50</x:v>
      </x:c>
      <x:c r="L8" s="32" t="n">
        <x:v>0.0963</x:v>
      </x:c>
      <x:c r="M8" s="26" t="n">
        <x:v>0.0289</x:v>
      </x:c>
    </x:row>
    <x:row r="9">
      <x:c r="A9" s="20" t="str">
        <x:v>real_review6_large_c40_u130_k10_clustered_r00_c40_u130_k10_s0</x:v>
      </x:c>
      <x:c r="B9" s="20" t="str">
        <x:v>clustered</x:v>
      </x:c>
      <x:c r="C9" s="23" t="n">
        <x:v>43</x:v>
      </x:c>
      <x:c r="D9" s="20" t="str">
        <x:v>PSP</x:v>
      </x:c>
      <x:c r="E9" s="26" t="n">
        <x:v>0.9625</x:v>
      </x:c>
      <x:c r="F9" s="26" t="n">
        <x:v>0.0448</x:v>
      </x:c>
      <x:c r="G9" s="26" t="n">
        <x:v>0.0109</x:v>
      </x:c>
      <x:c r="H9" s="26" t="n">
        <x:v>0.2593</x:v>
      </x:c>
      <x:c r="I9" s="26" t="n">
        <x:v>0.2593</x:v>
      </x:c>
      <x:c r="J9" s="23" t="n">
        <x:v>50</x:v>
      </x:c>
      <x:c r="K9" s="23" t="n">
        <x:v>50</x:v>
      </x:c>
      <x:c r="L9" s="32" t="n">
        <x:v>0.0996</x:v>
      </x:c>
      <x:c r="M9" s="26" t="n">
        <x:v>0.0209</x:v>
      </x:c>
    </x:row>
    <x:row r="10">
      <x:c r="A10" s="20" t="str">
        <x:v>real_review6_large_c40_u130_k10_clustered_r00_c40_u130_k10_s0</x:v>
      </x:c>
      <x:c r="B10" s="20" t="str">
        <x:v>clustered</x:v>
      </x:c>
      <x:c r="C10" s="23" t="n">
        <x:v>44</x:v>
      </x:c>
      <x:c r="D10" s="20" t="str">
        <x:v>NS-P</x:v>
      </x:c>
      <x:c r="E10" s="26" t="n">
        <x:v>0.9892</x:v>
      </x:c>
      <x:c r="F10" s="26" t="n">
        <x:v>0.0184</x:v>
      </x:c>
      <x:c r="G10" s="26" t="n">
        <x:v>0.0089</x:v>
      </x:c>
      <x:c r="H10" s="26" t="n">
        <x:v>0.2786</x:v>
      </x:c>
      <x:c r="I10" s="26" t="n">
        <x:v>0.2786</x:v>
      </x:c>
      <x:c r="J10" s="23" t="n">
        <x:v>50</x:v>
      </x:c>
      <x:c r="K10" s="23" t="n">
        <x:v>50</x:v>
      </x:c>
      <x:c r="L10" s="32" t="n">
        <x:v>0.0141</x:v>
      </x:c>
      <x:c r="M10" s="26" t="n">
        <x:v>0.0068</x:v>
      </x:c>
    </x:row>
    <x:row r="11">
      <x:c r="A11" s="20" t="str">
        <x:v>real_review6_large_c40_u130_k10_clustered_r00_c40_u130_k10_s0</x:v>
      </x:c>
      <x:c r="B11" s="20" t="str">
        <x:v>clustered</x:v>
      </x:c>
      <x:c r="C11" s="23" t="n">
        <x:v>44</x:v>
      </x:c>
      <x:c r="D11" s="20" t="str">
        <x:v>GCP</x:v>
      </x:c>
      <x:c r="E11" s="26" t="n">
        <x:v>0.989</x:v>
      </x:c>
      <x:c r="F11" s="26" t="n">
        <x:v>0.0135</x:v>
      </x:c>
      <x:c r="G11" s="26" t="n">
        <x:v>0.0146</x:v>
      </x:c>
      <x:c r="H11" s="26" t="n">
        <x:v>0.2693</x:v>
      </x:c>
      <x:c r="I11" s="26" t="n">
        <x:v>0.2693</x:v>
      </x:c>
      <x:c r="J11" s="23" t="n">
        <x:v>50</x:v>
      </x:c>
      <x:c r="K11" s="23" t="n">
        <x:v>50</x:v>
      </x:c>
      <x:c r="L11" s="32" t="n">
        <x:v>0.0214</x:v>
      </x:c>
      <x:c r="M11" s="26" t="n">
        <x:v>0.0363</x:v>
      </x:c>
    </x:row>
    <x:row r="12">
      <x:c r="A12" s="20" t="str">
        <x:v>real_review6_large_c40_u130_k10_clustered_r00_c40_u130_k10_s0</x:v>
      </x:c>
      <x:c r="B12" s="20" t="str">
        <x:v>clustered</x:v>
      </x:c>
      <x:c r="C12" s="23" t="n">
        <x:v>44</x:v>
      </x:c>
      <x:c r="D12" s="20" t="str">
        <x:v>GDP</x:v>
      </x:c>
      <x:c r="E12" s="26" t="n">
        <x:v>1.0008</x:v>
      </x:c>
      <x:c r="F12" s="26" t="n">
        <x:v>0.0091</x:v>
      </x:c>
      <x:c r="G12" s="26" t="n">
        <x:v>0.0069</x:v>
      </x:c>
      <x:c r="H12" s="26" t="n">
        <x:v>0.2739</x:v>
      </x:c>
      <x:c r="I12" s="26" t="n">
        <x:v>0.2739</x:v>
      </x:c>
      <x:c r="J12" s="23" t="n">
        <x:v>50</x:v>
      </x:c>
      <x:c r="K12" s="23" t="n">
        <x:v>50</x:v>
      </x:c>
      <x:c r="L12" s="32" t="n">
        <x:v>0</x:v>
      </x:c>
      <x:c r="M12" s="26" t="n">
        <x:v>0</x:v>
      </x:c>
    </x:row>
    <x:row r="13">
      <x:c r="A13" s="20" t="str">
        <x:v>real_review6_large_c40_u130_k10_clustered_r00_c40_u130_k10_s0</x:v>
      </x:c>
      <x:c r="B13" s="20" t="str">
        <x:v>clustered</x:v>
      </x:c>
      <x:c r="C13" s="23" t="n">
        <x:v>44</x:v>
      </x:c>
      <x:c r="D13" s="20" t="str">
        <x:v>PSP</x:v>
      </x:c>
      <x:c r="E13" s="26" t="n">
        <x:v>0.9855</x:v>
      </x:c>
      <x:c r="F13" s="26" t="n">
        <x:v>0.0184</x:v>
      </x:c>
      <x:c r="G13" s="26" t="n">
        <x:v>0.0097</x:v>
      </x:c>
      <x:c r="H13" s="26" t="n">
        <x:v>0.2712</x:v>
      </x:c>
      <x:c r="I13" s="26" t="n">
        <x:v>0.2712</x:v>
      </x:c>
      <x:c r="J13" s="23" t="n">
        <x:v>50</x:v>
      </x:c>
      <x:c r="K13" s="23" t="n">
        <x:v>50</x:v>
      </x:c>
      <x:c r="L13" s="32" t="n">
        <x:v>0.0245</x:v>
      </x:c>
      <x:c r="M13" s="26" t="n">
        <x:v>0.0175</x:v>
      </x:c>
    </x:row>
    <x:row r="14">
      <x:c r="A14" s="20" t="str">
        <x:v>real_review6_large_c40_u130_k10_skewed_r00_c40_u130_k10_s0</x:v>
      </x:c>
      <x:c r="B14" s="20" t="str">
        <x:v>skewed</x:v>
      </x:c>
      <x:c r="C14" s="23" t="n">
        <x:v>42</x:v>
      </x:c>
      <x:c r="D14" s="20" t="str">
        <x:v>NS-P</x:v>
      </x:c>
      <x:c r="E14" s="26" t="n">
        <x:v>0.9919</x:v>
      </x:c>
      <x:c r="F14" s="26" t="n">
        <x:v>0.0485</x:v>
      </x:c>
      <x:c r="G14" s="26" t="n">
        <x:v>0.0127</x:v>
      </x:c>
      <x:c r="H14" s="26" t="n">
        <x:v>0.2136</x:v>
      </x:c>
      <x:c r="I14" s="26" t="n">
        <x:v>0.2136</x:v>
      </x:c>
      <x:c r="J14" s="23" t="n">
        <x:v>50</x:v>
      </x:c>
      <x:c r="K14" s="23" t="n">
        <x:v>50</x:v>
      </x:c>
      <x:c r="L14" s="32" t="n">
        <x:v>0.0127</x:v>
      </x:c>
      <x:c r="M14" s="26" t="n">
        <x:v>0.0892</x:v>
      </x:c>
    </x:row>
    <x:row r="15">
      <x:c r="A15" s="20" t="str">
        <x:v>real_review6_large_c40_u130_k10_skewed_r00_c40_u130_k10_s0</x:v>
      </x:c>
      <x:c r="B15" s="20" t="str">
        <x:v>skewed</x:v>
      </x:c>
      <x:c r="C15" s="23" t="n">
        <x:v>42</x:v>
      </x:c>
      <x:c r="D15" s="20" t="str">
        <x:v>GCP</x:v>
      </x:c>
      <x:c r="E15" s="26" t="n">
        <x:v>1.0692</x:v>
      </x:c>
      <x:c r="F15" s="26" t="n">
        <x:v>0.0116</x:v>
      </x:c>
      <x:c r="G15" s="26" t="n">
        <x:v>0.0129</x:v>
      </x:c>
      <x:c r="H15" s="26" t="n">
        <x:v>0.2186</x:v>
      </x:c>
      <x:c r="I15" s="26" t="n">
        <x:v>0.2186</x:v>
      </x:c>
      <x:c r="J15" s="23" t="n">
        <x:v>50</x:v>
      </x:c>
      <x:c r="K15" s="23" t="n">
        <x:v>50</x:v>
      </x:c>
      <x:c r="L15" s="32" t="n">
        <x:v>0.0003</x:v>
      </x:c>
      <x:c r="M15" s="26" t="n">
        <x:v>0</x:v>
      </x:c>
    </x:row>
    <x:row r="16">
      <x:c r="A16" s="20" t="str">
        <x:v>real_review6_large_c40_u130_k10_skewed_r00_c40_u130_k10_s0</x:v>
      </x:c>
      <x:c r="B16" s="20" t="str">
        <x:v>skewed</x:v>
      </x:c>
      <x:c r="C16" s="23" t="n">
        <x:v>42</x:v>
      </x:c>
      <x:c r="D16" s="20" t="str">
        <x:v>GDP</x:v>
      </x:c>
      <x:c r="E16" s="26" t="n">
        <x:v>1.0685</x:v>
      </x:c>
      <x:c r="F16" s="26" t="n">
        <x:v>0.0125</x:v>
      </x:c>
      <x:c r="G16" s="26" t="n">
        <x:v>0.0063</x:v>
      </x:c>
      <x:c r="H16" s="26" t="n">
        <x:v>0.2016</x:v>
      </x:c>
      <x:c r="I16" s="26" t="n">
        <x:v>0.2016</x:v>
      </x:c>
      <x:c r="J16" s="23" t="n">
        <x:v>50</x:v>
      </x:c>
      <x:c r="K16" s="23" t="n">
        <x:v>50</x:v>
      </x:c>
      <x:c r="L16" s="32" t="n">
        <x:v>0.0107</x:v>
      </x:c>
      <x:c r="M16" s="26" t="n">
        <x:v>0.0103</x:v>
      </x:c>
    </x:row>
    <x:row r="17">
      <x:c r="A17" s="20" t="str">
        <x:v>real_review6_large_c40_u130_k10_skewed_r00_c40_u130_k10_s0</x:v>
      </x:c>
      <x:c r="B17" s="20" t="str">
        <x:v>skewed</x:v>
      </x:c>
      <x:c r="C17" s="23" t="n">
        <x:v>42</x:v>
      </x:c>
      <x:c r="D17" s="20" t="str">
        <x:v>PSP</x:v>
      </x:c>
      <x:c r="E17" s="26" t="n">
        <x:v>1.0516</x:v>
      </x:c>
      <x:c r="F17" s="26" t="n">
        <x:v>0.0232</x:v>
      </x:c>
      <x:c r="G17" s="26" t="n">
        <x:v>0.0138</x:v>
      </x:c>
      <x:c r="H17" s="26" t="n">
        <x:v>0.2208</x:v>
      </x:c>
      <x:c r="I17" s="26" t="n">
        <x:v>0.2208</x:v>
      </x:c>
      <x:c r="J17" s="23" t="n">
        <x:v>50</x:v>
      </x:c>
      <x:c r="K17" s="23" t="n">
        <x:v>50</x:v>
      </x:c>
      <x:c r="L17" s="32" t="n">
        <x:v>0</x:v>
      </x:c>
      <x:c r="M17" s="26" t="n">
        <x:v>0.0266</x:v>
      </x:c>
    </x:row>
    <x:row r="18">
      <x:c r="A18" s="20" t="str">
        <x:v>real_review6_large_c40_u130_k10_skewed_r00_c40_u130_k10_s0</x:v>
      </x:c>
      <x:c r="B18" s="20" t="str">
        <x:v>skewed</x:v>
      </x:c>
      <x:c r="C18" s="23" t="n">
        <x:v>43</x:v>
      </x:c>
      <x:c r="D18" s="20" t="str">
        <x:v>NS-P</x:v>
      </x:c>
      <x:c r="E18" s="26" t="n">
        <x:v>1.0507</x:v>
      </x:c>
      <x:c r="F18" s="26" t="n">
        <x:v>0.049</x:v>
      </x:c>
      <x:c r="G18" s="26" t="n">
        <x:v>0.0089</x:v>
      </x:c>
      <x:c r="H18" s="26" t="n">
        <x:v>0.1991</x:v>
      </x:c>
      <x:c r="I18" s="26" t="n">
        <x:v>0.1991</x:v>
      </x:c>
      <x:c r="J18" s="23" t="n">
        <x:v>50</x:v>
      </x:c>
      <x:c r="K18" s="23" t="n">
        <x:v>50</x:v>
      </x:c>
      <x:c r="L18" s="32" t="n">
        <x:v>0.0139</x:v>
      </x:c>
      <x:c r="M18" s="26" t="n">
        <x:v>0.0376</x:v>
      </x:c>
    </x:row>
    <x:row r="19">
      <x:c r="A19" s="20" t="str">
        <x:v>real_review6_large_c40_u130_k10_skewed_r00_c40_u130_k10_s0</x:v>
      </x:c>
      <x:c r="B19" s="20" t="str">
        <x:v>skewed</x:v>
      </x:c>
      <x:c r="C19" s="23" t="n">
        <x:v>43</x:v>
      </x:c>
      <x:c r="D19" s="20" t="str">
        <x:v>GCP</x:v>
      </x:c>
      <x:c r="E19" s="26" t="n">
        <x:v>1.0949</x:v>
      </x:c>
      <x:c r="F19" s="26" t="n">
        <x:v>0.007</x:v>
      </x:c>
      <x:c r="G19" s="26" t="n">
        <x:v>0.0541</x:v>
      </x:c>
      <x:c r="H19" s="26" t="n">
        <x:v>0.1691</x:v>
      </x:c>
      <x:c r="I19" s="26" t="n">
        <x:v>0.1691</x:v>
      </x:c>
      <x:c r="J19" s="23" t="n">
        <x:v>50</x:v>
      </x:c>
      <x:c r="K19" s="23" t="n">
        <x:v>50</x:v>
      </x:c>
      <x:c r="L19" s="32" t="n">
        <x:v>0</x:v>
      </x:c>
      <x:c r="M19" s="26" t="n">
        <x:v>0</x:v>
      </x:c>
    </x:row>
    <x:row r="20">
      <x:c r="A20" s="20" t="str">
        <x:v>real_review6_large_c40_u130_k10_skewed_r00_c40_u130_k10_s0</x:v>
      </x:c>
      <x:c r="B20" s="20" t="str">
        <x:v>skewed</x:v>
      </x:c>
      <x:c r="C20" s="23" t="n">
        <x:v>43</x:v>
      </x:c>
      <x:c r="D20" s="20" t="str">
        <x:v>GDP</x:v>
      </x:c>
      <x:c r="E20" s="26" t="n">
        <x:v>1.0808</x:v>
      </x:c>
      <x:c r="F20" s="26" t="n">
        <x:v>0.0142</x:v>
      </x:c>
      <x:c r="G20" s="26" t="n">
        <x:v>0.0116</x:v>
      </x:c>
      <x:c r="H20" s="26" t="n">
        <x:v>0.1863</x:v>
      </x:c>
      <x:c r="I20" s="26" t="n">
        <x:v>0.1863</x:v>
      </x:c>
      <x:c r="J20" s="23" t="n">
        <x:v>50</x:v>
      </x:c>
      <x:c r="K20" s="23" t="n">
        <x:v>50</x:v>
      </x:c>
      <x:c r="L20" s="32" t="n">
        <x:v>0.007</x:v>
      </x:c>
      <x:c r="M20" s="26" t="n">
        <x:v>0.0068</x:v>
      </x:c>
    </x:row>
    <x:row r="21">
      <x:c r="A21" s="20" t="str">
        <x:v>real_review6_large_c40_u130_k10_skewed_r00_c40_u130_k10_s0</x:v>
      </x:c>
      <x:c r="B21" s="20" t="str">
        <x:v>skewed</x:v>
      </x:c>
      <x:c r="C21" s="23" t="n">
        <x:v>43</x:v>
      </x:c>
      <x:c r="D21" s="20" t="str">
        <x:v>PSP</x:v>
      </x:c>
      <x:c r="E21" s="26" t="n">
        <x:v>1.0556</x:v>
      </x:c>
      <x:c r="F21" s="26" t="n">
        <x:v>0.0535</x:v>
      </x:c>
      <x:c r="G21" s="26" t="n">
        <x:v>0.0053</x:v>
      </x:c>
      <x:c r="H21" s="26" t="n">
        <x:v>0.1797</x:v>
      </x:c>
      <x:c r="I21" s="26" t="n">
        <x:v>0.1797</x:v>
      </x:c>
      <x:c r="J21" s="23" t="n">
        <x:v>50</x:v>
      </x:c>
      <x:c r="K21" s="23" t="n">
        <x:v>50</x:v>
      </x:c>
      <x:c r="L21" s="32" t="n">
        <x:v>0.0499</x:v>
      </x:c>
      <x:c r="M21" s="26" t="n">
        <x:v>0.0272</x:v>
      </x:c>
    </x:row>
    <x:row r="22">
      <x:c r="A22" s="20" t="str">
        <x:v>real_review6_large_c40_u130_k10_skewed_r00_c40_u130_k10_s0</x:v>
      </x:c>
      <x:c r="B22" s="20" t="str">
        <x:v>skewed</x:v>
      </x:c>
      <x:c r="C22" s="23" t="n">
        <x:v>44</x:v>
      </x:c>
      <x:c r="D22" s="20" t="str">
        <x:v>NS-P</x:v>
      </x:c>
      <x:c r="E22" s="26" t="n">
        <x:v>0.9232</x:v>
      </x:c>
      <x:c r="F22" s="26" t="n">
        <x:v>0.0675</x:v>
      </x:c>
      <x:c r="G22" s="26" t="n">
        <x:v>0.0067</x:v>
      </x:c>
      <x:c r="H22" s="26" t="n">
        <x:v>0.2666</x:v>
      </x:c>
      <x:c r="I22" s="26" t="n">
        <x:v>0.2666</x:v>
      </x:c>
      <x:c r="J22" s="23" t="n">
        <x:v>50</x:v>
      </x:c>
      <x:c r="K22" s="23" t="n">
        <x:v>50</x:v>
      </x:c>
      <x:c r="L22" s="32" t="n">
        <x:v>0.0511</x:v>
      </x:c>
      <x:c r="M22" s="26" t="n">
        <x:v>0.1311</x:v>
      </x:c>
    </x:row>
    <x:row r="23">
      <x:c r="A23" s="20" t="str">
        <x:v>real_review6_large_c40_u130_k10_skewed_r00_c40_u130_k10_s0</x:v>
      </x:c>
      <x:c r="B23" s="20" t="str">
        <x:v>skewed</x:v>
      </x:c>
      <x:c r="C23" s="23" t="n">
        <x:v>44</x:v>
      </x:c>
      <x:c r="D23" s="20" t="str">
        <x:v>GCP</x:v>
      </x:c>
      <x:c r="E23" s="26" t="n">
        <x:v>1.0365</x:v>
      </x:c>
      <x:c r="F23" s="26" t="n">
        <x:v>0.0049</x:v>
      </x:c>
      <x:c r="G23" s="26" t="n">
        <x:v>0.006</x:v>
      </x:c>
      <x:c r="H23" s="26" t="n">
        <x:v>0.2391</x:v>
      </x:c>
      <x:c r="I23" s="26" t="n">
        <x:v>0.2391</x:v>
      </x:c>
      <x:c r="J23" s="23" t="n">
        <x:v>50</x:v>
      </x:c>
      <x:c r="K23" s="23" t="n">
        <x:v>50</x:v>
      </x:c>
      <x:c r="L23" s="32" t="n">
        <x:v>0</x:v>
      </x:c>
      <x:c r="M23" s="26" t="n">
        <x:v>0</x:v>
      </x:c>
    </x:row>
    <x:row r="24">
      <x:c r="A24" s="20" t="str">
        <x:v>real_review6_large_c40_u130_k10_skewed_r00_c40_u130_k10_s0</x:v>
      </x:c>
      <x:c r="B24" s="20" t="str">
        <x:v>skewed</x:v>
      </x:c>
      <x:c r="C24" s="23" t="n">
        <x:v>44</x:v>
      </x:c>
      <x:c r="D24" s="20" t="str">
        <x:v>GDP</x:v>
      </x:c>
      <x:c r="E24" s="26" t="n">
        <x:v>1.0076</x:v>
      </x:c>
      <x:c r="F24" s="26" t="n">
        <x:v>0.0379</x:v>
      </x:c>
      <x:c r="G24" s="26" t="n">
        <x:v>0.0089</x:v>
      </x:c>
      <x:c r="H24" s="26" t="n">
        <x:v>0.254</x:v>
      </x:c>
      <x:c r="I24" s="26" t="n">
        <x:v>0.254</x:v>
      </x:c>
      <x:c r="J24" s="23" t="n">
        <x:v>50</x:v>
      </x:c>
      <x:c r="K24" s="23" t="n">
        <x:v>50</x:v>
      </x:c>
      <x:c r="L24" s="32" t="n">
        <x:v>0.0315</x:v>
      </x:c>
      <x:c r="M24" s="26" t="n">
        <x:v>0.0413</x:v>
      </x:c>
    </x:row>
    <x:row r="25">
      <x:c r="A25" s="20" t="str">
        <x:v>real_review6_large_c40_u130_k10_skewed_r00_c40_u130_k10_s0</x:v>
      </x:c>
      <x:c r="B25" s="20" t="str">
        <x:v>skewed</x:v>
      </x:c>
      <x:c r="C25" s="23" t="n">
        <x:v>44</x:v>
      </x:c>
      <x:c r="D25" s="20" t="str">
        <x:v>PSP</x:v>
      </x:c>
      <x:c r="E25" s="26" t="n">
        <x:v>0.9536</x:v>
      </x:c>
      <x:c r="F25" s="26" t="n">
        <x:v>0.0486</x:v>
      </x:c>
      <x:c r="G25" s="26" t="n">
        <x:v>0.012</x:v>
      </x:c>
      <x:c r="H25" s="26" t="n">
        <x:v>0.2549</x:v>
      </x:c>
      <x:c r="I25" s="26" t="n">
        <x:v>0.2549</x:v>
      </x:c>
      <x:c r="J25" s="23" t="n">
        <x:v>50</x:v>
      </x:c>
      <x:c r="K25" s="23" t="n">
        <x:v>50</x:v>
      </x:c>
      <x:c r="L25" s="32" t="n">
        <x:v>0.084</x:v>
      </x:c>
      <x:c r="M25" s="26" t="n">
        <x:v>0.0429</x:v>
      </x:c>
    </x:row>
    <x:row r="26">
      <x:c r="A26" s="20" t="str">
        <x:v>real_review6_large_c40_u130_k10_sparse_r00_c40_u130_k10_s0</x:v>
      </x:c>
      <x:c r="B26" s="20" t="str">
        <x:v>sparse</x:v>
      </x:c>
      <x:c r="C26" s="23" t="n">
        <x:v>42</x:v>
      </x:c>
      <x:c r="D26" s="20" t="str">
        <x:v>NS-P</x:v>
      </x:c>
      <x:c r="E26" s="26" t="n">
        <x:v>0.9108</x:v>
      </x:c>
      <x:c r="F26" s="26" t="n">
        <x:v>0.0579</x:v>
      </x:c>
      <x:c r="G26" s="26" t="n">
        <x:v>0.0089</x:v>
      </x:c>
      <x:c r="H26" s="26" t="n">
        <x:v>0.2744</x:v>
      </x:c>
      <x:c r="I26" s="26" t="n">
        <x:v>0.2744</x:v>
      </x:c>
      <x:c r="J26" s="23" t="n">
        <x:v>50</x:v>
      </x:c>
      <x:c r="K26" s="23" t="n">
        <x:v>50</x:v>
      </x:c>
      <x:c r="L26" s="32" t="n">
        <x:v>0</x:v>
      </x:c>
      <x:c r="M26" s="26" t="n">
        <x:v>0.1547</x:v>
      </x:c>
    </x:row>
    <x:row r="27">
      <x:c r="A27" s="20" t="str">
        <x:v>real_review6_large_c40_u130_k10_sparse_r00_c40_u130_k10_s0</x:v>
      </x:c>
      <x:c r="B27" s="20" t="str">
        <x:v>sparse</x:v>
      </x:c>
      <x:c r="C27" s="23" t="n">
        <x:v>42</x:v>
      </x:c>
      <x:c r="D27" s="20" t="str">
        <x:v>GCP</x:v>
      </x:c>
      <x:c r="E27" s="26" t="n">
        <x:v>0.9424</x:v>
      </x:c>
      <x:c r="F27" s="26" t="n">
        <x:v>0.0327</x:v>
      </x:c>
      <x:c r="G27" s="26" t="n">
        <x:v>0.0062</x:v>
      </x:c>
      <x:c r="H27" s="26" t="n">
        <x:v>0.2804</x:v>
      </x:c>
      <x:c r="I27" s="26" t="n">
        <x:v>0.2804</x:v>
      </x:c>
      <x:c r="J27" s="23" t="n">
        <x:v>50</x:v>
      </x:c>
      <x:c r="K27" s="23" t="n">
        <x:v>50</x:v>
      </x:c>
      <x:c r="L27" s="32" t="n">
        <x:v>0.0535</x:v>
      </x:c>
      <x:c r="M27" s="26" t="n">
        <x:v>0.0291</x:v>
      </x:c>
    </x:row>
    <x:row r="28">
      <x:c r="A28" s="20" t="str">
        <x:v>real_review6_large_c40_u130_k10_sparse_r00_c40_u130_k10_s0</x:v>
      </x:c>
      <x:c r="B28" s="20" t="str">
        <x:v>sparse</x:v>
      </x:c>
      <x:c r="C28" s="23" t="n">
        <x:v>42</x:v>
      </x:c>
      <x:c r="D28" s="20" t="str">
        <x:v>GDP</x:v>
      </x:c>
      <x:c r="E28" s="26" t="n">
        <x:v>0.9585</x:v>
      </x:c>
      <x:c r="F28" s="26" t="n">
        <x:v>0.0304</x:v>
      </x:c>
      <x:c r="G28" s="26" t="n">
        <x:v>0.0093</x:v>
      </x:c>
      <x:c r="H28" s="26" t="n">
        <x:v>0.2641</x:v>
      </x:c>
      <x:c r="I28" s="26" t="n">
        <x:v>0.2641</x:v>
      </x:c>
      <x:c r="J28" s="23" t="n">
        <x:v>50</x:v>
      </x:c>
      <x:c r="K28" s="23" t="n">
        <x:v>50</x:v>
      </x:c>
      <x:c r="L28" s="32" t="n">
        <x:v>0.0948</x:v>
      </x:c>
      <x:c r="M28" s="26" t="n">
        <x:v>0</x:v>
      </x:c>
    </x:row>
    <x:row r="29">
      <x:c r="A29" s="20" t="str">
        <x:v>real_review6_large_c40_u130_k10_sparse_r00_c40_u130_k10_s0</x:v>
      </x:c>
      <x:c r="B29" s="20" t="str">
        <x:v>sparse</x:v>
      </x:c>
      <x:c r="C29" s="23" t="n">
        <x:v>42</x:v>
      </x:c>
      <x:c r="D29" s="20" t="str">
        <x:v>PSP</x:v>
      </x:c>
      <x:c r="E29" s="26" t="n">
        <x:v>0.9234</x:v>
      </x:c>
      <x:c r="F29" s="26" t="n">
        <x:v>0.049</x:v>
      </x:c>
      <x:c r="G29" s="26" t="n">
        <x:v>0.005</x:v>
      </x:c>
      <x:c r="H29" s="26" t="n">
        <x:v>0.2787</x:v>
      </x:c>
      <x:c r="I29" s="26" t="n">
        <x:v>0.2787</x:v>
      </x:c>
      <x:c r="J29" s="23" t="n">
        <x:v>50</x:v>
      </x:c>
      <x:c r="K29" s="23" t="n">
        <x:v>50</x:v>
      </x:c>
      <x:c r="L29" s="32" t="n">
        <x:v>0.0993</x:v>
      </x:c>
      <x:c r="M29" s="26" t="n">
        <x:v>0.0431</x:v>
      </x:c>
    </x:row>
    <x:row r="30">
      <x:c r="A30" s="20" t="str">
        <x:v>real_review6_large_c40_u130_k10_sparse_r00_c40_u130_k10_s0</x:v>
      </x:c>
      <x:c r="B30" s="20" t="str">
        <x:v>sparse</x:v>
      </x:c>
      <x:c r="C30" s="23" t="n">
        <x:v>43</x:v>
      </x:c>
      <x:c r="D30" s="20" t="str">
        <x:v>NS-P</x:v>
      </x:c>
      <x:c r="E30" s="26" t="n">
        <x:v>1.0189</x:v>
      </x:c>
      <x:c r="F30" s="26" t="n">
        <x:v>0.0183</x:v>
      </x:c>
      <x:c r="G30" s="26" t="n">
        <x:v>0.0087</x:v>
      </x:c>
      <x:c r="H30" s="26" t="n">
        <x:v>0.2313</x:v>
      </x:c>
      <x:c r="I30" s="26" t="n">
        <x:v>0.2313</x:v>
      </x:c>
      <x:c r="J30" s="23" t="n">
        <x:v>50</x:v>
      </x:c>
      <x:c r="K30" s="23" t="n">
        <x:v>50</x:v>
      </x:c>
      <x:c r="L30" s="32" t="n">
        <x:v>0</x:v>
      </x:c>
      <x:c r="M30" s="26" t="n">
        <x:v>0.0212</x:v>
      </x:c>
    </x:row>
    <x:row r="31">
      <x:c r="A31" s="20" t="str">
        <x:v>real_review6_large_c40_u130_k10_sparse_r00_c40_u130_k10_s0</x:v>
      </x:c>
      <x:c r="B31" s="20" t="str">
        <x:v>sparse</x:v>
      </x:c>
      <x:c r="C31" s="23" t="n">
        <x:v>43</x:v>
      </x:c>
      <x:c r="D31" s="20" t="str">
        <x:v>GCP</x:v>
      </x:c>
      <x:c r="E31" s="26" t="n">
        <x:v>0.9655</x:v>
      </x:c>
      <x:c r="F31" s="26" t="n">
        <x:v>0.0853</x:v>
      </x:c>
      <x:c r="G31" s="26" t="n">
        <x:v>0.0045</x:v>
      </x:c>
      <x:c r="H31" s="26" t="n">
        <x:v>0.2471</x:v>
      </x:c>
      <x:c r="I31" s="26" t="n">
        <x:v>0.2471</x:v>
      </x:c>
      <x:c r="J31" s="23" t="n">
        <x:v>50</x:v>
      </x:c>
      <x:c r="K31" s="23" t="n">
        <x:v>50</x:v>
      </x:c>
      <x:c r="L31" s="32" t="n">
        <x:v>0.1303</x:v>
      </x:c>
      <x:c r="M31" s="26" t="n">
        <x:v>0.0197</x:v>
      </x:c>
    </x:row>
    <x:row r="32">
      <x:c r="A32" s="20" t="str">
        <x:v>real_review6_large_c40_u130_k10_sparse_r00_c40_u130_k10_s0</x:v>
      </x:c>
      <x:c r="B32" s="20" t="str">
        <x:v>sparse</x:v>
      </x:c>
      <x:c r="C32" s="23" t="n">
        <x:v>43</x:v>
      </x:c>
      <x:c r="D32" s="20" t="str">
        <x:v>GDP</x:v>
      </x:c>
      <x:c r="E32" s="26" t="n">
        <x:v>1.0066</x:v>
      </x:c>
      <x:c r="F32" s="26" t="n">
        <x:v>0.042</x:v>
      </x:c>
      <x:c r="G32" s="26" t="n">
        <x:v>0.0047</x:v>
      </x:c>
      <x:c r="H32" s="26" t="n">
        <x:v>0.2266</x:v>
      </x:c>
      <x:c r="I32" s="26" t="n">
        <x:v>0.2266</x:v>
      </x:c>
      <x:c r="J32" s="23" t="n">
        <x:v>50</x:v>
      </x:c>
      <x:c r="K32" s="23" t="n">
        <x:v>50</x:v>
      </x:c>
      <x:c r="L32" s="32" t="n">
        <x:v>0.0821</x:v>
      </x:c>
      <x:c r="M32" s="26" t="n">
        <x:v>0</x:v>
      </x:c>
    </x:row>
    <x:row r="33">
      <x:c r="A33" s="20" t="str">
        <x:v>real_review6_large_c40_u130_k10_sparse_r00_c40_u130_k10_s0</x:v>
      </x:c>
      <x:c r="B33" s="20" t="str">
        <x:v>sparse</x:v>
      </x:c>
      <x:c r="C33" s="23" t="n">
        <x:v>43</x:v>
      </x:c>
      <x:c r="D33" s="20" t="str">
        <x:v>PSP</x:v>
      </x:c>
      <x:c r="E33" s="26" t="n">
        <x:v>0.97</x:v>
      </x:c>
      <x:c r="F33" s="26" t="n">
        <x:v>0.0523</x:v>
      </x:c>
      <x:c r="G33" s="26" t="n">
        <x:v>0.0072</x:v>
      </x:c>
      <x:c r="H33" s="26" t="n">
        <x:v>0.2415</x:v>
      </x:c>
      <x:c r="I33" s="26" t="n">
        <x:v>0.2415</x:v>
      </x:c>
      <x:c r="J33" s="23" t="n">
        <x:v>50</x:v>
      </x:c>
      <x:c r="K33" s="23" t="n">
        <x:v>50</x:v>
      </x:c>
      <x:c r="L33" s="32" t="n">
        <x:v>0.1106</x:v>
      </x:c>
      <x:c r="M33" s="26" t="n">
        <x:v>0.0163</x:v>
      </x:c>
    </x:row>
    <x:row r="34">
      <x:c r="A34" s="20" t="str">
        <x:v>real_review6_large_c40_u130_k10_sparse_r00_c40_u130_k10_s0</x:v>
      </x:c>
      <x:c r="B34" s="20" t="str">
        <x:v>sparse</x:v>
      </x:c>
      <x:c r="C34" s="23" t="n">
        <x:v>44</x:v>
      </x:c>
      <x:c r="D34" s="20" t="str">
        <x:v>NS-P</x:v>
      </x:c>
      <x:c r="E34" s="26" t="n">
        <x:v>0.9534</x:v>
      </x:c>
      <x:c r="F34" s="26" t="n">
        <x:v>0.062</x:v>
      </x:c>
      <x:c r="G34" s="26" t="n">
        <x:v>0.0071</x:v>
      </x:c>
      <x:c r="H34" s="26" t="n">
        <x:v>0.2546</x:v>
      </x:c>
      <x:c r="I34" s="26" t="n">
        <x:v>0.2546</x:v>
      </x:c>
      <x:c r="J34" s="23" t="n">
        <x:v>50</x:v>
      </x:c>
      <x:c r="K34" s="23" t="n">
        <x:v>50</x:v>
      </x:c>
      <x:c r="L34" s="32" t="n">
        <x:v>0</x:v>
      </x:c>
      <x:c r="M34" s="26" t="n">
        <x:v>0.1255</x:v>
      </x:c>
    </x:row>
    <x:row r="35">
      <x:c r="A35" s="20" t="str">
        <x:v>real_review6_large_c40_u130_k10_sparse_r00_c40_u130_k10_s0</x:v>
      </x:c>
      <x:c r="B35" s="20" t="str">
        <x:v>sparse</x:v>
      </x:c>
      <x:c r="C35" s="23" t="n">
        <x:v>44</x:v>
      </x:c>
      <x:c r="D35" s="20" t="str">
        <x:v>GCP</x:v>
      </x:c>
      <x:c r="E35" s="26" t="n">
        <x:v>0.9521</x:v>
      </x:c>
      <x:c r="F35" s="26" t="n">
        <x:v>0.0691</x:v>
      </x:c>
      <x:c r="G35" s="26" t="n">
        <x:v>0.0043</x:v>
      </x:c>
      <x:c r="H35" s="26" t="n">
        <x:v>0.27</x:v>
      </x:c>
      <x:c r="I35" s="26" t="n">
        <x:v>0.27</x:v>
      </x:c>
      <x:c r="J35" s="23" t="n">
        <x:v>50</x:v>
      </x:c>
      <x:c r="K35" s="23" t="n">
        <x:v>50</x:v>
      </x:c>
      <x:c r="L35" s="32" t="n">
        <x:v>0.0846</x:v>
      </x:c>
      <x:c r="M35" s="26" t="n">
        <x:v>0.0588</x:v>
      </x:c>
    </x:row>
    <x:row r="36">
      <x:c r="A36" s="20" t="str">
        <x:v>real_review6_large_c40_u130_k10_sparse_r00_c40_u130_k10_s0</x:v>
      </x:c>
      <x:c r="B36" s="20" t="str">
        <x:v>sparse</x:v>
      </x:c>
      <x:c r="C36" s="23" t="n">
        <x:v>44</x:v>
      </x:c>
      <x:c r="D36" s="20" t="str">
        <x:v>GDP</x:v>
      </x:c>
      <x:c r="E36" s="26" t="n">
        <x:v>0.9691</x:v>
      </x:c>
      <x:c r="F36" s="26" t="n">
        <x:v>0.0466</x:v>
      </x:c>
      <x:c r="G36" s="26" t="n">
        <x:v>0.0088</x:v>
      </x:c>
      <x:c r="H36" s="26" t="n">
        <x:v>0.2357</x:v>
      </x:c>
      <x:c r="I36" s="26" t="n">
        <x:v>0.2357</x:v>
      </x:c>
      <x:c r="J36" s="23" t="n">
        <x:v>50</x:v>
      </x:c>
      <x:c r="K36" s="23" t="n">
        <x:v>50</x:v>
      </x:c>
      <x:c r="L36" s="32" t="n">
        <x:v>0.11</x:v>
      </x:c>
      <x:c r="M36" s="26" t="n">
        <x:v>0.0206</x:v>
      </x:c>
    </x:row>
    <x:row r="37">
      <x:c r="A37" s="21" t="str">
        <x:v>real_review6_large_c40_u130_k10_sparse_r00_c40_u130_k10_s0</x:v>
      </x:c>
      <x:c r="B37" s="21" t="str">
        <x:v>sparse</x:v>
      </x:c>
      <x:c r="C37" s="24" t="n">
        <x:v>44</x:v>
      </x:c>
      <x:c r="D37" s="21" t="str">
        <x:v>PSP</x:v>
      </x:c>
      <x:c r="E37" s="27" t="n">
        <x:v>0.9508</x:v>
      </x:c>
      <x:c r="F37" s="27" t="n">
        <x:v>0.0591</x:v>
      </x:c>
      <x:c r="G37" s="27" t="n">
        <x:v>0.0062</x:v>
      </x:c>
      <x:c r="H37" s="27" t="n">
        <x:v>0.2541</x:v>
      </x:c>
      <x:c r="I37" s="27" t="n">
        <x:v>0.2541</x:v>
      </x:c>
      <x:c r="J37" s="24" t="n">
        <x:v>50</x:v>
      </x:c>
      <x:c r="K37" s="24" t="n">
        <x:v>50</x:v>
      </x:c>
      <x:c r="L37" s="33" t="n">
        <x:v>0.1311</x:v>
      </x:c>
      <x:c r="M37" s="27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e215efee9abf446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</x:cols>
  <x:sheetData>
    <x:row r="1" ht="34" customHeight="1">
      <x:c r="A1" s="12" t="str">
        <x:v>Scenario</x:v>
      </x:c>
      <x:c r="B1" s="13" t="str">
        <x:v>Method</x:v>
      </x:c>
      <x:c r="C1" s="13" t="str">
        <x:v>Seeds</x:v>
      </x:c>
      <x:c r="D1" s="13" t="str">
        <x:v>HVMean</x:v>
      </x:c>
      <x:c r="E1" s="13" t="str">
        <x:v>HVStd</x:v>
      </x:c>
      <x:c r="F1" s="13" t="str">
        <x:v>IGDMean</x:v>
      </x:c>
      <x:c r="G1" s="13" t="str">
        <x:v>IGDStd</x:v>
      </x:c>
      <x:c r="H1" s="13" t="str">
        <x:v>BestQMean</x:v>
      </x:c>
      <x:c r="I1" s="14" t="str">
        <x:v>BestQStd</x:v>
      </x:c>
    </x:row>
    <x:row r="2">
      <x:c r="A2" s="19" t="str">
        <x:v>alternate_sparse</x:v>
      </x:c>
      <x:c r="B2" s="19" t="str">
        <x:v>NS-P</x:v>
      </x:c>
      <x:c r="C2" s="22" t="n">
        <x:v>3</x:v>
      </x:c>
      <x:c r="D2" s="25" t="n">
        <x:v>0.9574027814187405</x:v>
      </x:c>
      <x:c r="E2" s="25" t="n">
        <x:v>0.08397737047305208</x:v>
      </x:c>
      <x:c r="F2" s="25" t="n">
        <x:v>0.04983864352716144</x:v>
      </x:c>
      <x:c r="G2" s="25" t="n">
        <x:v>0.03278510791937491</x:v>
      </x:c>
      <x:c r="H2" s="25" t="n">
        <x:v>0.29527171101966104</x:v>
      </x:c>
      <x:c r="I2" s="25" t="n">
        <x:v>0.058427769807437954</x:v>
      </x:c>
    </x:row>
    <x:row r="3">
      <x:c r="A3" s="20" t="str">
        <x:v>alternate_sparse</x:v>
      </x:c>
      <x:c r="B3" s="20" t="str">
        <x:v>GCP</x:v>
      </x:c>
      <x:c r="C3" s="23" t="n">
        <x:v>3</x:v>
      </x:c>
      <x:c r="D3" s="26" t="n">
        <x:v>0.9798872696378845</x:v>
      </x:c>
      <x:c r="E3" s="26" t="n">
        <x:v>0.06905651320559288</x:v>
      </x:c>
      <x:c r="F3" s="26" t="n">
        <x:v>0.04464097839106649</x:v>
      </x:c>
      <x:c r="G3" s="26" t="n">
        <x:v>0.015846310847790045</x:v>
      </x:c>
      <x:c r="H3" s="26" t="n">
        <x:v>0.2800172908233785</x:v>
      </x:c>
      <x:c r="I3" s="26" t="n">
        <x:v>0.04468683339509512</x:v>
      </x:c>
    </x:row>
    <x:row r="4">
      <x:c r="A4" s="20" t="str">
        <x:v>alternate_sparse</x:v>
      </x:c>
      <x:c r="B4" s="20" t="str">
        <x:v>GDP</x:v>
      </x:c>
      <x:c r="C4" s="23" t="n">
        <x:v>3</x:v>
      </x:c>
      <x:c r="D4" s="26" t="n">
        <x:v>0.9742293860614083</x:v>
      </x:c>
      <x:c r="E4" s="26" t="n">
        <x:v>0.05222971636940884</x:v>
      </x:c>
      <x:c r="F4" s="26" t="n">
        <x:v>0.04075749113934467</x:v>
      </x:c>
      <x:c r="G4" s="26" t="n">
        <x:v>0.023350548666144704</x:v>
      </x:c>
      <x:c r="H4" s="26" t="n">
        <x:v>0.2732792548637378</x:v>
      </x:c>
      <x:c r="I4" s="26" t="n">
        <x:v>0.038000677250246195</x:v>
      </x:c>
    </x:row>
    <x:row r="5">
      <x:c r="A5" s="21" t="str">
        <x:v>alternate_sparse</x:v>
      </x:c>
      <x:c r="B5" s="21" t="str">
        <x:v>PSP</x:v>
      </x:c>
      <x:c r="C5" s="24" t="n">
        <x:v>3</x:v>
      </x:c>
      <x:c r="D5" s="27" t="n">
        <x:v>1.0115599611405184</x:v>
      </x:c>
      <x:c r="E5" s="27" t="n">
        <x:v>0.05794230497239521</x:v>
      </x:c>
      <x:c r="F5" s="27" t="n">
        <x:v>0.012927294478479968</x:v>
      </x:c>
      <x:c r="G5" s="27" t="n">
        <x:v>0.005469892511698154</x:v>
      </x:c>
      <x:c r="H5" s="27" t="n">
        <x:v>0.2678392228703066</x:v>
      </x:c>
      <x:c r="I5" s="27" t="n">
        <x:v>0.05028459484732145</x:v>
      </x:c>
    </x:row>
  </x:sheetData>
  <x:pageMargins left="0.7" right="0.7" top="0.75" bottom="0.75" header="0.3" footer="0.3"/>
  <x:tableParts count="1">
    <x:tablePart xmlns:r="http://schemas.openxmlformats.org/officeDocument/2006/relationships" r:id="Rbf0a176b73284d4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58" hidden="0" customWidth="1"/>
    <x:col min="4" max="4" width="1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12" t="str">
        <x:v>Scenario</x:v>
      </x:c>
      <x:c r="B1" s="13" t="str">
        <x:v>Seed</x:v>
      </x:c>
      <x:c r="C1" s="13" t="str">
        <x:v>Config</x:v>
      </x:c>
      <x:c r="D1" s="13" t="str">
        <x:v>Method</x:v>
      </x:c>
      <x:c r="E1" s="13" t="str">
        <x:v>HV</x:v>
      </x:c>
      <x:c r="F1" s="13" t="str">
        <x:v>IGD</x:v>
      </x:c>
      <x:c r="G1" s="13" t="str">
        <x:v>Spacing</x:v>
      </x:c>
      <x:c r="H1" s="13" t="str">
        <x:v>BestQ</x:v>
      </x:c>
      <x:c r="I1" s="13" t="str">
        <x:v>BestFrontQ</x:v>
      </x:c>
      <x:c r="J1" s="13" t="str">
        <x:v>ParetoCount</x:v>
      </x:c>
      <x:c r="K1" s="13" t="str">
        <x:v>SolutionCount</x:v>
      </x:c>
      <x:c r="L1" s="13" t="str">
        <x:v>BestCostNorm</x:v>
      </x:c>
      <x:c r="M1" s="14" t="str">
        <x:v>BestDelayNorm</x:v>
      </x:c>
    </x:row>
    <x:row r="2">
      <x:c r="A2" s="19" t="str">
        <x:v>alternate_sparse</x:v>
      </x:c>
      <x:c r="B2" s="22" t="n">
        <x:v>42</x:v>
      </x:c>
      <x:c r="C2" s="19" t="str">
        <x:v>real_sparse_r04_c40_u130_k10_s1</x:v>
      </x:c>
      <x:c r="D2" s="19" t="str">
        <x:v>NS-P</x:v>
      </x:c>
      <x:c r="E2" s="25" t="n">
        <x:v>1.048108089751652</x:v>
      </x:c>
      <x:c r="F2" s="25" t="n">
        <x:v>0.0192667766346104</x:v>
      </x:c>
      <x:c r="G2" s="25" t="n">
        <x:v>0.0101317349738453</x:v>
      </x:c>
      <x:c r="H2" s="25" t="n">
        <x:v>0.2343728546376079</x:v>
      </x:c>
      <x:c r="I2" s="25" t="n">
        <x:v>0.2343728546376079</x:v>
      </x:c>
      <x:c r="J2" s="22" t="n">
        <x:v>50</x:v>
      </x:c>
      <x:c r="K2" s="22" t="n">
        <x:v>50</x:v>
      </x:c>
      <x:c r="L2" s="31" t="n">
        <x:v>0</x:v>
      </x:c>
      <x:c r="M2" s="25" t="n">
        <x:v>0</x:v>
      </x:c>
    </x:row>
    <x:row r="3">
      <x:c r="A3" s="20" t="str">
        <x:v>alternate_sparse</x:v>
      </x:c>
      <x:c r="B3" s="23" t="n">
        <x:v>42</x:v>
      </x:c>
      <x:c r="C3" s="20" t="str">
        <x:v>real_sparse_r04_c40_u130_k10_s1</x:v>
      </x:c>
      <x:c r="D3" s="20" t="str">
        <x:v>GCP</x:v>
      </x:c>
      <x:c r="E3" s="26" t="n">
        <x:v>1.0477806992346226</x:v>
      </x:c>
      <x:c r="F3" s="26" t="n">
        <x:v>0.0263496221192144</x:v>
      </x:c>
      <x:c r="G3" s="26" t="n">
        <x:v>0.008071084333436</x:v>
      </x:c>
      <x:c r="H3" s="26" t="n">
        <x:v>0.2420890074343047</x:v>
      </x:c>
      <x:c r="I3" s="26" t="n">
        <x:v>0.2420890074343047</x:v>
      </x:c>
      <x:c r="J3" s="23" t="n">
        <x:v>50</x:v>
      </x:c>
      <x:c r="K3" s="23" t="n">
        <x:v>50</x:v>
      </x:c>
      <x:c r="L3" s="32" t="n">
        <x:v>0.0102647504785284</x:v>
      </x:c>
      <x:c r="M3" s="26" t="n">
        <x:v>0.0049326093892771</x:v>
      </x:c>
    </x:row>
    <x:row r="4">
      <x:c r="A4" s="20" t="str">
        <x:v>alternate_sparse</x:v>
      </x:c>
      <x:c r="B4" s="23" t="n">
        <x:v>42</x:v>
      </x:c>
      <x:c r="C4" s="20" t="str">
        <x:v>real_sparse_r04_c40_u130_k10_s1</x:v>
      </x:c>
      <x:c r="D4" s="20" t="str">
        <x:v>GDP</x:v>
      </x:c>
      <x:c r="E4" s="26" t="n">
        <x:v>1.0252279055522038</x:v>
      </x:c>
      <x:c r="F4" s="26" t="n">
        <x:v>0.0404552717870821</x:v>
      </x:c>
      <x:c r="G4" s="26" t="n">
        <x:v>0.0042315436064902</x:v>
      </x:c>
      <x:c r="H4" s="26" t="n">
        <x:v>0.2385479433660541</x:v>
      </x:c>
      <x:c r="I4" s="26" t="n">
        <x:v>0.2385479433660541</x:v>
      </x:c>
      <x:c r="J4" s="23" t="n">
        <x:v>50</x:v>
      </x:c>
      <x:c r="K4" s="23" t="n">
        <x:v>50</x:v>
      </x:c>
      <x:c r="L4" s="32" t="n">
        <x:v>0.0531124395711687</x:v>
      </x:c>
      <x:c r="M4" s="26" t="n">
        <x:v>0.0219809418033486</x:v>
      </x:c>
    </x:row>
    <x:row r="5">
      <x:c r="A5" s="20" t="str">
        <x:v>alternate_sparse</x:v>
      </x:c>
      <x:c r="B5" s="23" t="n">
        <x:v>42</x:v>
      </x:c>
      <x:c r="C5" s="20" t="str">
        <x:v>real_sparse_r04_c40_u130_k10_s1</x:v>
      </x:c>
      <x:c r="D5" s="20" t="str">
        <x:v>PSP</x:v>
      </x:c>
      <x:c r="E5" s="26" t="n">
        <x:v>1.0490168248300376</x:v>
      </x:c>
      <x:c r="F5" s="26" t="n">
        <x:v>0.0192395051073223</x:v>
      </x:c>
      <x:c r="G5" s="26" t="n">
        <x:v>0.0074923591238662</x:v>
      </x:c>
      <x:c r="H5" s="26" t="n">
        <x:v>0.2273324743696142</x:v>
      </x:c>
      <x:c r="I5" s="26" t="n">
        <x:v>0.2273324743696142</x:v>
      </x:c>
      <x:c r="J5" s="23" t="n">
        <x:v>50</x:v>
      </x:c>
      <x:c r="K5" s="23" t="n">
        <x:v>50</x:v>
      </x:c>
      <x:c r="L5" s="32" t="n">
        <x:v>0.0005465201042215</x:v>
      </x:c>
      <x:c r="M5" s="26" t="n">
        <x:v>0.0366372605637095</x:v>
      </x:c>
    </x:row>
    <x:row r="6">
      <x:c r="A6" s="20" t="str">
        <x:v>alternate_sparse</x:v>
      </x:c>
      <x:c r="B6" s="23" t="n">
        <x:v>43</x:v>
      </x:c>
      <x:c r="C6" s="20" t="str">
        <x:v>real_sparse_r04_c40_u130_k10_s1</x:v>
      </x:c>
      <x:c r="D6" s="20" t="str">
        <x:v>NS-P</x:v>
      </x:c>
      <x:c r="E6" s="26" t="n">
        <x:v>0.8823582254650661</x:v>
      </x:c>
      <x:c r="F6" s="26" t="n">
        <x:v>0.0457884962611218</x:v>
      </x:c>
      <x:c r="G6" s="26" t="n">
        <x:v>0.0060908536857405</x:v>
      </x:c>
      <x:c r="H6" s="26" t="n">
        <x:v>0.350866740281044</x:v>
      </x:c>
      <x:c r="I6" s="26" t="n">
        <x:v>0.350866740281044</x:v>
      </x:c>
      <x:c r="J6" s="23" t="n">
        <x:v>50</x:v>
      </x:c>
      <x:c r="K6" s="23" t="n">
        <x:v>50</x:v>
      </x:c>
      <x:c r="L6" s="32" t="n">
        <x:v>0.0477588123843083</x:v>
      </x:c>
      <x:c r="M6" s="26" t="n">
        <x:v>0.0522625677770224</x:v>
      </x:c>
    </x:row>
    <x:row r="7">
      <x:c r="A7" s="20" t="str">
        <x:v>alternate_sparse</x:v>
      </x:c>
      <x:c r="B7" s="23" t="n">
        <x:v>43</x:v>
      </x:c>
      <x:c r="C7" s="20" t="str">
        <x:v>real_sparse_r04_c40_u130_k10_s1</x:v>
      </x:c>
      <x:c r="D7" s="20" t="str">
        <x:v>GCP</x:v>
      </x:c>
      <x:c r="E7" s="26" t="n">
        <x:v>0.9097236571354216</x:v>
      </x:c>
      <x:c r="F7" s="26" t="n">
        <x:v>0.0533679898494064</x:v>
      </x:c>
      <x:c r="G7" s="26" t="n">
        <x:v>0.0061818697188517</x:v>
      </x:c>
      <x:c r="H7" s="26" t="n">
        <x:v>0.3292798989518716</x:v>
      </x:c>
      <x:c r="I7" s="26" t="n">
        <x:v>0.3292798989518716</x:v>
      </x:c>
      <x:c r="J7" s="23" t="n">
        <x:v>50</x:v>
      </x:c>
      <x:c r="K7" s="23" t="n">
        <x:v>50</x:v>
      </x:c>
      <x:c r="L7" s="32" t="n">
        <x:v>0.0764617226781475</x:v>
      </x:c>
      <x:c r="M7" s="26" t="n">
        <x:v>0.0388190816950246</x:v>
      </x:c>
    </x:row>
    <x:row r="8">
      <x:c r="A8" s="20" t="str">
        <x:v>alternate_sparse</x:v>
      </x:c>
      <x:c r="B8" s="23" t="n">
        <x:v>43</x:v>
      </x:c>
      <x:c r="C8" s="20" t="str">
        <x:v>real_sparse_r04_c40_u130_k10_s1</x:v>
      </x:c>
      <x:c r="D8" s="20" t="str">
        <x:v>GDP</x:v>
      </x:c>
      <x:c r="E8" s="26" t="n">
        <x:v>0.9208499087892568</x:v>
      </x:c>
      <x:c r="F8" s="26" t="n">
        <x:v>0.0175595190218094</x:v>
      </x:c>
      <x:c r="G8" s="26" t="n">
        <x:v>0.0049602025884701</x:v>
      </x:c>
      <x:c r="H8" s="26" t="n">
        <x:v>0.3138688954712452</x:v>
      </x:c>
      <x:c r="I8" s="26" t="n">
        <x:v>0.3138688954712452</x:v>
      </x:c>
      <x:c r="J8" s="23" t="n">
        <x:v>50</x:v>
      </x:c>
      <x:c r="K8" s="23" t="n">
        <x:v>50</x:v>
      </x:c>
      <x:c r="L8" s="32" t="n">
        <x:v>0.0362440858793536</x:v>
      </x:c>
      <x:c r="M8" s="26" t="n">
        <x:v>0.0465353558883639</x:v>
      </x:c>
    </x:row>
    <x:row r="9">
      <x:c r="A9" s="20" t="str">
        <x:v>alternate_sparse</x:v>
      </x:c>
      <x:c r="B9" s="23" t="n">
        <x:v>43</x:v>
      </x:c>
      <x:c r="C9" s="20" t="str">
        <x:v>real_sparse_r04_c40_u130_k10_s1</x:v>
      </x:c>
      <x:c r="D9" s="20" t="str">
        <x:v>PSP</x:v>
      </x:c>
      <x:c r="E9" s="26" t="n">
        <x:v>0.9448206115017544</x:v>
      </x:c>
      <x:c r="F9" s="26" t="n">
        <x:v>0.0095795597759709</x:v>
      </x:c>
      <x:c r="G9" s="26" t="n">
        <x:v>0.0097770105110974</x:v>
      </x:c>
      <x:c r="H9" s="26" t="n">
        <x:v>0.3241195727553839</x:v>
      </x:c>
      <x:c r="I9" s="26" t="n">
        <x:v>0.3241195727553839</x:v>
      </x:c>
      <x:c r="J9" s="23" t="n">
        <x:v>50</x:v>
      </x:c>
      <x:c r="K9" s="23" t="n">
        <x:v>50</x:v>
      </x:c>
      <x:c r="L9" s="32" t="n">
        <x:v>0</x:v>
      </x:c>
      <x:c r="M9" s="26" t="n">
        <x:v>0</x:v>
      </x:c>
    </x:row>
    <x:row r="10">
      <x:c r="A10" s="20" t="str">
        <x:v>alternate_sparse</x:v>
      </x:c>
      <x:c r="B10" s="23" t="n">
        <x:v>44</x:v>
      </x:c>
      <x:c r="C10" s="20" t="str">
        <x:v>real_sparse_r04_c40_u130_k10_s1</x:v>
      </x:c>
      <x:c r="D10" s="20" t="str">
        <x:v>NS-P</x:v>
      </x:c>
      <x:c r="E10" s="26" t="n">
        <x:v>0.9417420290395032</x:v>
      </x:c>
      <x:c r="F10" s="26" t="n">
        <x:v>0.0844606576857521</x:v>
      </x:c>
      <x:c r="G10" s="26" t="n">
        <x:v>0.0079195268975465</x:v>
      </x:c>
      <x:c r="H10" s="26" t="n">
        <x:v>0.3005755381403313</x:v>
      </x:c>
      <x:c r="I10" s="26" t="n">
        <x:v>0.3005755381403313</x:v>
      </x:c>
      <x:c r="J10" s="23" t="n">
        <x:v>50</x:v>
      </x:c>
      <x:c r="K10" s="23" t="n">
        <x:v>50</x:v>
      </x:c>
      <x:c r="L10" s="32" t="n">
        <x:v>0.0486744913241903</x:v>
      </x:c>
      <x:c r="M10" s="26" t="n">
        <x:v>0.0507651071380488</x:v>
      </x:c>
    </x:row>
    <x:row r="11">
      <x:c r="A11" s="20" t="str">
        <x:v>alternate_sparse</x:v>
      </x:c>
      <x:c r="B11" s="23" t="n">
        <x:v>44</x:v>
      </x:c>
      <x:c r="C11" s="20" t="str">
        <x:v>real_sparse_r04_c40_u130_k10_s1</x:v>
      </x:c>
      <x:c r="D11" s="20" t="str">
        <x:v>GCP</x:v>
      </x:c>
      <x:c r="E11" s="26" t="n">
        <x:v>0.9821574525436092</x:v>
      </x:c>
      <x:c r="F11" s="26" t="n">
        <x:v>0.0542053232045787</x:v>
      </x:c>
      <x:c r="G11" s="26" t="n">
        <x:v>0.0085576153699362</x:v>
      </x:c>
      <x:c r="H11" s="26" t="n">
        <x:v>0.2686829660839593</x:v>
      </x:c>
      <x:c r="I11" s="26" t="n">
        <x:v>0.2686829660839593</x:v>
      </x:c>
      <x:c r="J11" s="23" t="n">
        <x:v>50</x:v>
      </x:c>
      <x:c r="K11" s="23" t="n">
        <x:v>50</x:v>
      </x:c>
      <x:c r="L11" s="32" t="n">
        <x:v>0.0658757505496532</x:v>
      </x:c>
      <x:c r="M11" s="26" t="n">
        <x:v>0</x:v>
      </x:c>
    </x:row>
    <x:row r="12">
      <x:c r="A12" s="20" t="str">
        <x:v>alternate_sparse</x:v>
      </x:c>
      <x:c r="B12" s="23" t="n">
        <x:v>44</x:v>
      </x:c>
      <x:c r="C12" s="20" t="str">
        <x:v>real_sparse_r04_c40_u130_k10_s1</x:v>
      </x:c>
      <x:c r="D12" s="20" t="str">
        <x:v>GDP</x:v>
      </x:c>
      <x:c r="E12" s="26" t="n">
        <x:v>0.9766103438427644</x:v>
      </x:c>
      <x:c r="F12" s="26" t="n">
        <x:v>0.0642576826091425</x:v>
      </x:c>
      <x:c r="G12" s="26" t="n">
        <x:v>0.0061100995377126</x:v>
      </x:c>
      <x:c r="H12" s="26" t="n">
        <x:v>0.2674209257539141</x:v>
      </x:c>
      <x:c r="I12" s="26" t="n">
        <x:v>0.2674209257539141</x:v>
      </x:c>
      <x:c r="J12" s="23" t="n">
        <x:v>50</x:v>
      </x:c>
      <x:c r="K12" s="23" t="n">
        <x:v>50</x:v>
      </x:c>
      <x:c r="L12" s="32" t="n">
        <x:v>0.0362644943445874</x:v>
      </x:c>
      <x:c r="M12" s="26" t="n">
        <x:v>0.0686884900683879</x:v>
      </x:c>
    </x:row>
    <x:row r="13">
      <x:c r="A13" s="21" t="str">
        <x:v>alternate_sparse</x:v>
      </x:c>
      <x:c r="B13" s="24" t="n">
        <x:v>44</x:v>
      </x:c>
      <x:c r="C13" s="21" t="str">
        <x:v>real_sparse_r04_c40_u130_k10_s1</x:v>
      </x:c>
      <x:c r="D13" s="21" t="str">
        <x:v>PSP</x:v>
      </x:c>
      <x:c r="E13" s="27" t="n">
        <x:v>1.040842447089763</x:v>
      </x:c>
      <x:c r="F13" s="27" t="n">
        <x:v>0.0099628185521467</x:v>
      </x:c>
      <x:c r="G13" s="27" t="n">
        <x:v>0.0069528658720915</x:v>
      </x:c>
      <x:c r="H13" s="27" t="n">
        <x:v>0.2520656214859217</x:v>
      </x:c>
      <x:c r="I13" s="27" t="n">
        <x:v>0.2520656214859217</x:v>
      </x:c>
      <x:c r="J13" s="24" t="n">
        <x:v>50</x:v>
      </x:c>
      <x:c r="K13" s="24" t="n">
        <x:v>50</x:v>
      </x:c>
      <x:c r="L13" s="33" t="n">
        <x:v>0</x:v>
      </x:c>
      <x:c r="M13" s="27" t="n">
        <x:v>0.0169794579703573</x:v>
      </x:c>
    </x:row>
  </x:sheetData>
  <x:pageMargins left="0.7" right="0.7" top="0.75" bottom="0.75" header="0.3" footer="0.3"/>
  <x:tableParts count="1">
    <x:tablePart xmlns:r="http://schemas.openxmlformats.org/officeDocument/2006/relationships" r:id="Rcb285f29cce0450a"/>
  </x:tableParts>
</x:worksheet>
</file>