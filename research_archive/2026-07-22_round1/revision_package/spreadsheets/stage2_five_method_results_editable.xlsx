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52feccac2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4b9bb9f061243a5"/>
    <x:sheet xmlns:r="http://schemas.openxmlformats.org/officeDocument/2006/relationships" name="Fixed Servers" sheetId="2" r:id="Rd948fd6f606a4cc4"/>
    <x:sheet xmlns:r="http://schemas.openxmlformats.org/officeDocument/2006/relationships" name="Fixed Users" sheetId="3" r:id="R561bbb6e4a9d46d8"/>
    <x:sheet xmlns:r="http://schemas.openxmlformats.org/officeDocument/2006/relationships" name="Validation" sheetId="4" r:id="R3b48423063f1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sz val="11"/>
      <x:color rgb="FF4F4F4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6FA"/>
      </x:patternFill>
    </x:fill>
    <x:fill>
      <x:patternFill patternType="solid">
        <x:fgColor rgb="FF64B5F6"/>
      </x:patternFill>
    </x:fill>
    <x:fill>
      <x:patternFill patternType="solid">
        <x:fgColor rgb="FFFF5A5F"/>
      </x:patternFill>
    </x:fill>
    <x:fill>
      <x:patternFill patternType="solid">
        <x:fgColor rgb="FF39B96B"/>
      </x:patternFill>
    </x:fill>
    <x:fill>
      <x:patternFill patternType="solid">
        <x:fgColor rgb="FFF2B84B"/>
      </x:patternFill>
    </x:fill>
    <x:fill>
      <x:patternFill patternType="solid">
        <x:fgColor rgb="FF9B72CF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</x:fills>
  <x:borders count="33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top style="thin">
        <x:color rgb="FFD9E2F3"/>
      </x:top>
      <x:bottom style="thin">
        <x:color rgb="FFA6A6A6"/>
      </x:bottom>
    </x:border>
    <x:border>
      <x:left style="thin">
        <x:color rgb="FFA6A6A6"/>
      </x:left>
      <x:right style="thin">
        <x:color rgb="FFD9E2F3"/>
      </x:right>
      <x:top style="thin">
        <x:color rgb="FFA6A6A6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A6A6A6"/>
      </x:top>
      <x:bottom style="thin">
        <x:color rgb="FFD9E2F3"/>
      </x:bottom>
    </x:border>
    <x:border>
      <x:left style="thin">
        <x:color rgb="FFD9E2F3"/>
      </x:left>
      <x:top style="thin">
        <x:color rgb="FFA6A6A6"/>
      </x:top>
      <x:bottom style="thin">
        <x:color rgb="FFD9E2F3"/>
      </x:bottom>
    </x:border>
    <x:border>
      <x:left style="thin">
        <x:color rgb="FFA6A6A6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A6A6"/>
      </x:left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4" fillId="0" borderId="5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7" borderId="5" xfId="0" applyNumberFormat="1" applyFont="1" applyFill="1" applyBorder="1" applyAlignment="1">
      <x:alignment horizontal="center" vertical="center"/>
    </x:xf>
    <x:xf numFmtId="0" fontId="4" fillId="8" borderId="5" xfId="0" applyNumberFormat="1" applyFont="1" applyFill="1" applyBorder="1" applyAlignment="1">
      <x:alignment horizontal="center" vertical="center"/>
    </x:xf>
    <x:xf numFmtId="0" fontId="5" fillId="8" borderId="5" xfId="0" applyNumberFormat="1" applyFont="1" applyFill="1" applyBorder="1" applyAlignment="1">
      <x:alignment horizontal="center" vertical="center"/>
    </x:xf>
    <x:xf numFmtId="0" fontId="4" fillId="9" borderId="6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left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200" fontId="0" fillId="0" borderId="13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7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horizontal="center"/>
    </x:xf>
    <x:xf numFmtId="200" fontId="0" fillId="0" borderId="11" xfId="0" applyNumberFormat="1" applyFont="1" applyFill="1" applyBorder="1" applyAlignment="1">
      <x:alignment horizontal="center"/>
    </x:xf>
    <x:xf numFmtId="200" fontId="0" fillId="0" borderId="12" xfId="0" applyNumberFormat="1" applyFont="1" applyFill="1" applyBorder="1" applyAlignment="1">
      <x:alignment horizontal="center"/>
    </x:xf>
    <x:xf numFmtId="200" fontId="0" fillId="0" borderId="13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 applyAlignment="1">
      <x:alignment horizont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4" fillId="5" borderId="17" xfId="0" applyNumberFormat="1" applyFont="1" applyFill="1" applyBorder="1" applyAlignment="1">
      <x:alignment horizontal="center" vertical="center"/>
    </x:xf>
    <x:xf numFmtId="0" fontId="4" fillId="6" borderId="17" xfId="0" applyNumberFormat="1" applyFont="1" applyFill="1" applyBorder="1" applyAlignment="1">
      <x:alignment horizontal="center" vertical="center"/>
    </x:xf>
    <x:xf numFmtId="0" fontId="4" fillId="7" borderId="17" xfId="0" applyNumberFormat="1" applyFont="1" applyFill="1" applyBorder="1" applyAlignment="1">
      <x:alignment horizontal="center" vertical="center"/>
    </x:xf>
    <x:xf numFmtId="0" fontId="5" fillId="8" borderId="17" xfId="0" applyNumberFormat="1" applyFont="1" applyFill="1" applyBorder="1" applyAlignment="1">
      <x:alignment horizontal="center" vertical="center"/>
    </x:xf>
    <x:xf numFmtId="0" fontId="4" fillId="9" borderId="18" xfId="0" applyNumberFormat="1" applyFont="1" applyFill="1" applyBorder="1" applyAlignment="1">
      <x:alignment horizontal="center" vertical="center"/>
    </x:xf>
    <x:xf numFmtId="0" fontId="5" fillId="10" borderId="19" xfId="0" applyNumberFormat="1" applyFont="1" applyFill="1" applyBorder="1" applyAlignment="1">
      <x:alignment horizontal="left"/>
    </x:xf>
    <x:xf numFmtId="0" fontId="5" fillId="10" borderId="2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6" fillId="11" borderId="24" xfId="0" applyNumberFormat="1" applyFont="1" applyFill="1" applyBorder="1" applyAlignment="1">
      <x:alignment wrapText="1"/>
    </x:xf>
    <x:xf numFmtId="0" fontId="6" fillId="11" borderId="25" xfId="0" applyNumberFormat="1" applyFont="1" applyFill="1" applyBorder="1" applyAlignment="1">
      <x:alignment wrapText="1"/>
    </x:xf>
    <x:xf numFmtId="0" fontId="6" fillId="11" borderId="26" xfId="0" applyNumberFormat="1" applyFont="1" applyFill="1" applyBorder="1" applyAlignment="1">
      <x:alignment wrapText="1"/>
    </x:xf>
    <x:xf numFmtId="0" fontId="6" fillId="11" borderId="27" xfId="0" applyNumberFormat="1" applyFont="1" applyFill="1" applyBorder="1" applyAlignment="1">
      <x:alignment wrapText="1"/>
    </x:xf>
    <x:xf numFmtId="0" fontId="6" fillId="11" borderId="28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2" borderId="7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wrapText="1"/>
    </x:xf>
    <x:xf numFmtId="0" fontId="3" fillId="10" borderId="10" xfId="0" applyNumberFormat="1" applyFont="1" applyFill="1" applyBorder="1"/>
    <x:xf numFmtId="201" fontId="0" fillId="0" borderId="11" xfId="0" applyNumberFormat="1" applyFont="1" applyFill="1" applyBorder="1"/>
    <x:xf numFmtId="0" fontId="3" fillId="10" borderId="29" xfId="0" applyNumberFormat="1" applyFont="1" applyFill="1" applyBorder="1"/>
    <x:xf numFmtId="200" fontId="0" fillId="0" borderId="30" xfId="0" applyNumberFormat="1" applyFont="1" applyFill="1" applyBorder="1"/>
    <x:xf numFmtId="201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2" fillId="3" borderId="32" xfId="0" applyNumberFormat="1" applyFont="1" applyFill="1" applyBorder="1"/>
    <x:xf numFmtId="0" fontId="0" fillId="0" borderId="3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dfaf4516c4904" /><Relationship Type="http://schemas.openxmlformats.org/officeDocument/2006/relationships/theme" Target="/xl/theme/theme1.xml" Id="R26126b5fdf5a496c" /><Relationship Type="http://schemas.openxmlformats.org/officeDocument/2006/relationships/sharedStrings" Target="/xl/sharedStrings.xml" Id="R4e38c7f8693e4459" /><Relationship Type="http://schemas.openxmlformats.org/officeDocument/2006/relationships/worksheet" Target="/xl/worksheets/sheet1.xml" Id="R44b9bb9f061243a5" /><Relationship Type="http://schemas.openxmlformats.org/officeDocument/2006/relationships/worksheet" Target="/xl/worksheets/sheet2.xml" Id="Rd948fd6f606a4cc4" /><Relationship Type="http://schemas.openxmlformats.org/officeDocument/2006/relationships/worksheet" Target="/xl/worksheets/sheet3.xml" Id="R561bbb6e4a9d46d8" /><Relationship Type="http://schemas.openxmlformats.org/officeDocument/2006/relationships/worksheet" Target="/xl/worksheets/sheet4.xml" Id="R3b48423063f148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4fbb4892004cf9" /><Relationship Type="http://schemas.openxmlformats.org/officeDocument/2006/relationships/chart" Target="/xl/drawings/charts/chart2.xml" Id="Rf91ac886bea74dfe" /><Relationship Type="http://schemas.openxmlformats.org/officeDocument/2006/relationships/chart" Target="/xl/drawings/charts/chart3.xml" Id="Ra2e8289ae0cd4ed4" /><Relationship Type="http://schemas.openxmlformats.org/officeDocument/2006/relationships/chart" Target="/xl/drawings/charts/chart4.xml" Id="R2f37b0489d31483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1b3a27b4fc0742d2" /><Relationship Type="http://schemas.openxmlformats.org/officeDocument/2006/relationships/chart" Target="/xl/drawings/charts/chart6.xml" Id="R96592cd96a0e4222" /><Relationship Type="http://schemas.openxmlformats.org/officeDocument/2006/relationships/chart" Target="/xl/drawings/charts/chart7.xml" Id="R5f26df3e848949a2" /><Relationship Type="http://schemas.openxmlformats.org/officeDocument/2006/relationships/chart" Target="/xl/drawings/charts/chart8.xml" Id="Rdb4e5d227d1d41b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10 servers / 100 users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NS-P</c:v>
          </c:tx>
          <c:spPr>
            <a:solidFill xmlns:a="http://schemas.openxmlformats.org/drawingml/2006/main">
              <a:srgbClr val="64B5F6"/>
            </a:solidFill>
          </c:spPr>
          <c:cat>
            <c:strRef>
              <c:f>'Fixed Servers'!$A$4</c:f>
              <c:strCache>
                <c:ptCount val="0"/>
              </c:strCache>
            </c:strRef>
          </c:cat>
          <c:val>
            <c:numRef>
              <c:f>'Fixed Servers'!$B$4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PSP</c:v>
          </c:tx>
          <c:spPr>
            <a:solidFill xmlns:a="http://schemas.openxmlformats.org/drawingml/2006/main">
              <a:srgbClr val="FF5A5F"/>
            </a:solidFill>
          </c:spPr>
          <c:cat>
            <c:strRef>
              <c:f>'Fixed Servers'!$A$4</c:f>
              <c:strCache>
                <c:ptCount val="0"/>
              </c:strCache>
            </c:strRef>
          </c:cat>
          <c:val>
            <c:numRef>
              <c:f>'Fixed Servers'!$C$4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GCP</c:v>
          </c:tx>
          <c:spPr>
            <a:solidFill xmlns:a="http://schemas.openxmlformats.org/drawingml/2006/main">
              <a:srgbClr val="39B96B"/>
            </a:solidFill>
          </c:spPr>
          <c:cat>
            <c:strRef>
              <c:f>'Fixed Servers'!$A$4</c:f>
              <c:strCache>
                <c:ptCount val="0"/>
              </c:strCache>
            </c:strRef>
          </c:cat>
          <c:val>
            <c:numRef>
              <c:f>'Fixed Servers'!$D$4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GDP</c:v>
          </c:tx>
          <c:spPr>
            <a:solidFill xmlns:a="http://schemas.openxmlformats.org/drawingml/2006/main">
              <a:srgbClr val="F2B84B"/>
            </a:solidFill>
          </c:spPr>
          <c:cat>
            <c:strRef>
              <c:f>'Fixed Servers'!$A$4</c:f>
              <c:strCache>
                <c:ptCount val="0"/>
              </c:strCache>
            </c:strRef>
          </c:cat>
          <c:val>
            <c:numRef>
              <c:f>'Fixed Servers'!$E$4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DQN</c:v>
          </c:tx>
          <c:spPr>
            <a:solidFill xmlns:a="http://schemas.openxmlformats.org/drawingml/2006/main">
              <a:srgbClr val="9B72CF"/>
            </a:solidFill>
          </c:spPr>
          <c:cat>
            <c:strRef>
              <c:f>'Fixed Servers'!$A$4</c:f>
              <c:strCache>
                <c:ptCount val="0"/>
              </c:strCache>
            </c:strRef>
          </c:cat>
          <c:val>
            <c:numRef>
              <c:f>'Fixed Servers'!$F$4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62"/>
          <c:min val="0.2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10 servers / 130 users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NS-P</c:v>
          </c:tx>
          <c:spPr>
            <a:solidFill xmlns:a="http://schemas.openxmlformats.org/drawingml/2006/main">
              <a:srgbClr val="64B5F6"/>
            </a:solidFill>
          </c:spPr>
          <c:cat>
            <c:strRef>
              <c:f>'Fixed Servers'!$A$5</c:f>
              <c:strCache>
                <c:ptCount val="0"/>
              </c:strCache>
            </c:strRef>
          </c:cat>
          <c:val>
            <c:numRef>
              <c:f>'Fixed Servers'!$B$5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PSP</c:v>
          </c:tx>
          <c:spPr>
            <a:solidFill xmlns:a="http://schemas.openxmlformats.org/drawingml/2006/main">
              <a:srgbClr val="FF5A5F"/>
            </a:solidFill>
          </c:spPr>
          <c:cat>
            <c:strRef>
              <c:f>'Fixed Servers'!$A$5</c:f>
              <c:strCache>
                <c:ptCount val="0"/>
              </c:strCache>
            </c:strRef>
          </c:cat>
          <c:val>
            <c:numRef>
              <c:f>'Fixed Servers'!$C$5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GCP</c:v>
          </c:tx>
          <c:spPr>
            <a:solidFill xmlns:a="http://schemas.openxmlformats.org/drawingml/2006/main">
              <a:srgbClr val="39B96B"/>
            </a:solidFill>
          </c:spPr>
          <c:cat>
            <c:strRef>
              <c:f>'Fixed Servers'!$A$5</c:f>
              <c:strCache>
                <c:ptCount val="0"/>
              </c:strCache>
            </c:strRef>
          </c:cat>
          <c:val>
            <c:numRef>
              <c:f>'Fixed Servers'!$D$5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GDP</c:v>
          </c:tx>
          <c:spPr>
            <a:solidFill xmlns:a="http://schemas.openxmlformats.org/drawingml/2006/main">
              <a:srgbClr val="F2B84B"/>
            </a:solidFill>
          </c:spPr>
          <c:cat>
            <c:strRef>
              <c:f>'Fixed Servers'!$A$5</c:f>
              <c:strCache>
                <c:ptCount val="0"/>
              </c:strCache>
            </c:strRef>
          </c:cat>
          <c:val>
            <c:numRef>
              <c:f>'Fixed Servers'!$E$5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DQN</c:v>
          </c:tx>
          <c:spPr>
            <a:solidFill xmlns:a="http://schemas.openxmlformats.org/drawingml/2006/main">
              <a:srgbClr val="9B72CF"/>
            </a:solidFill>
          </c:spPr>
          <c:cat>
            <c:strRef>
              <c:f>'Fixed Servers'!$A$5</c:f>
              <c:strCache>
                <c:ptCount val="0"/>
              </c:strCache>
            </c:strRef>
          </c:cat>
          <c:val>
            <c:numRef>
              <c:f>'Fixed Servers'!$F$5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65"/>
          <c:min val="0.3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10 servers / 150 users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NS-P</c:v>
          </c:tx>
          <c:spPr>
            <a:solidFill xmlns:a="http://schemas.openxmlformats.org/drawingml/2006/main">
              <a:srgbClr val="64B5F6"/>
            </a:solidFill>
          </c:spPr>
          <c:cat>
            <c:strRef>
              <c:f>'Fixed Servers'!$A$6</c:f>
              <c:strCache>
                <c:ptCount val="0"/>
              </c:strCache>
            </c:strRef>
          </c:cat>
          <c:val>
            <c:numRef>
              <c:f>'Fixed Servers'!$B$6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PSP</c:v>
          </c:tx>
          <c:spPr>
            <a:solidFill xmlns:a="http://schemas.openxmlformats.org/drawingml/2006/main">
              <a:srgbClr val="FF5A5F"/>
            </a:solidFill>
          </c:spPr>
          <c:cat>
            <c:strRef>
              <c:f>'Fixed Servers'!$A$6</c:f>
              <c:strCache>
                <c:ptCount val="0"/>
              </c:strCache>
            </c:strRef>
          </c:cat>
          <c:val>
            <c:numRef>
              <c:f>'Fixed Servers'!$C$6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GCP</c:v>
          </c:tx>
          <c:spPr>
            <a:solidFill xmlns:a="http://schemas.openxmlformats.org/drawingml/2006/main">
              <a:srgbClr val="39B96B"/>
            </a:solidFill>
          </c:spPr>
          <c:cat>
            <c:strRef>
              <c:f>'Fixed Servers'!$A$6</c:f>
              <c:strCache>
                <c:ptCount val="0"/>
              </c:strCache>
            </c:strRef>
          </c:cat>
          <c:val>
            <c:numRef>
              <c:f>'Fixed Servers'!$D$6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GDP</c:v>
          </c:tx>
          <c:spPr>
            <a:solidFill xmlns:a="http://schemas.openxmlformats.org/drawingml/2006/main">
              <a:srgbClr val="F2B84B"/>
            </a:solidFill>
          </c:spPr>
          <c:cat>
            <c:strRef>
              <c:f>'Fixed Servers'!$A$6</c:f>
              <c:strCache>
                <c:ptCount val="0"/>
              </c:strCache>
            </c:strRef>
          </c:cat>
          <c:val>
            <c:numRef>
              <c:f>'Fixed Servers'!$E$6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DQN</c:v>
          </c:tx>
          <c:spPr>
            <a:solidFill xmlns:a="http://schemas.openxmlformats.org/drawingml/2006/main">
              <a:srgbClr val="9B72CF"/>
            </a:solidFill>
          </c:spPr>
          <c:cat>
            <c:strRef>
              <c:f>'Fixed Servers'!$A$6</c:f>
              <c:strCache>
                <c:ptCount val="0"/>
              </c:strCache>
            </c:strRef>
          </c:cat>
          <c:val>
            <c:numRef>
              <c:f>'Fixed Servers'!$F$6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53"/>
          <c:min val="0.2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10 servers / 180 users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NS-P</c:v>
          </c:tx>
          <c:spPr>
            <a:solidFill xmlns:a="http://schemas.openxmlformats.org/drawingml/2006/main">
              <a:srgbClr val="64B5F6"/>
            </a:solidFill>
          </c:spPr>
          <c:cat>
            <c:strRef>
              <c:f>'Fixed Servers'!$A$7</c:f>
              <c:strCache>
                <c:ptCount val="0"/>
              </c:strCache>
            </c:strRef>
          </c:cat>
          <c:val>
            <c:numRef>
              <c:f>'Fixed Servers'!$B$7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PSP</c:v>
          </c:tx>
          <c:spPr>
            <a:solidFill xmlns:a="http://schemas.openxmlformats.org/drawingml/2006/main">
              <a:srgbClr val="FF5A5F"/>
            </a:solidFill>
          </c:spPr>
          <c:cat>
            <c:strRef>
              <c:f>'Fixed Servers'!$A$7</c:f>
              <c:strCache>
                <c:ptCount val="0"/>
              </c:strCache>
            </c:strRef>
          </c:cat>
          <c:val>
            <c:numRef>
              <c:f>'Fixed Servers'!$C$7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GCP</c:v>
          </c:tx>
          <c:spPr>
            <a:solidFill xmlns:a="http://schemas.openxmlformats.org/drawingml/2006/main">
              <a:srgbClr val="39B96B"/>
            </a:solidFill>
          </c:spPr>
          <c:cat>
            <c:strRef>
              <c:f>'Fixed Servers'!$A$7</c:f>
              <c:strCache>
                <c:ptCount val="0"/>
              </c:strCache>
            </c:strRef>
          </c:cat>
          <c:val>
            <c:numRef>
              <c:f>'Fixed Servers'!$D$7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GDP</c:v>
          </c:tx>
          <c:spPr>
            <a:solidFill xmlns:a="http://schemas.openxmlformats.org/drawingml/2006/main">
              <a:srgbClr val="F2B84B"/>
            </a:solidFill>
          </c:spPr>
          <c:cat>
            <c:strRef>
              <c:f>'Fixed Servers'!$A$7</c:f>
              <c:strCache>
                <c:ptCount val="0"/>
              </c:strCache>
            </c:strRef>
          </c:cat>
          <c:val>
            <c:numRef>
              <c:f>'Fixed Servers'!$E$7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DQN</c:v>
          </c:tx>
          <c:spPr>
            <a:solidFill xmlns:a="http://schemas.openxmlformats.org/drawingml/2006/main">
              <a:srgbClr val="9B72CF"/>
            </a:solidFill>
          </c:spPr>
          <c:cat>
            <c:strRef>
              <c:f>'Fixed Servers'!$A$7</c:f>
              <c:strCache>
                <c:ptCount val="0"/>
              </c:strCache>
            </c:strRef>
          </c:cat>
          <c:val>
            <c:numRef>
              <c:f>'Fixed Servers'!$F$7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52"/>
          <c:min val="0.2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5 servers / 130 users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NS-P</c:v>
          </c:tx>
          <c:spPr>
            <a:solidFill xmlns:a="http://schemas.openxmlformats.org/drawingml/2006/main">
              <a:srgbClr val="64B5F6"/>
            </a:solidFill>
          </c:spPr>
          <c:cat>
            <c:strRef>
              <c:f>'Fixed Users'!$A$4</c:f>
              <c:strCache>
                <c:ptCount val="0"/>
              </c:strCache>
            </c:strRef>
          </c:cat>
          <c:val>
            <c:numRef>
              <c:f>'Fixed Users'!$B$4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PSP</c:v>
          </c:tx>
          <c:spPr>
            <a:solidFill xmlns:a="http://schemas.openxmlformats.org/drawingml/2006/main">
              <a:srgbClr val="FF5A5F"/>
            </a:solidFill>
          </c:spPr>
          <c:cat>
            <c:strRef>
              <c:f>'Fixed Users'!$A$4</c:f>
              <c:strCache>
                <c:ptCount val="0"/>
              </c:strCache>
            </c:strRef>
          </c:cat>
          <c:val>
            <c:numRef>
              <c:f>'Fixed Users'!$C$4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GCP</c:v>
          </c:tx>
          <c:spPr>
            <a:solidFill xmlns:a="http://schemas.openxmlformats.org/drawingml/2006/main">
              <a:srgbClr val="39B96B"/>
            </a:solidFill>
          </c:spPr>
          <c:cat>
            <c:strRef>
              <c:f>'Fixed Users'!$A$4</c:f>
              <c:strCache>
                <c:ptCount val="0"/>
              </c:strCache>
            </c:strRef>
          </c:cat>
          <c:val>
            <c:numRef>
              <c:f>'Fixed Users'!$D$4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GDP</c:v>
          </c:tx>
          <c:spPr>
            <a:solidFill xmlns:a="http://schemas.openxmlformats.org/drawingml/2006/main">
              <a:srgbClr val="F2B84B"/>
            </a:solidFill>
          </c:spPr>
          <c:cat>
            <c:strRef>
              <c:f>'Fixed Users'!$A$4</c:f>
              <c:strCache>
                <c:ptCount val="0"/>
              </c:strCache>
            </c:strRef>
          </c:cat>
          <c:val>
            <c:numRef>
              <c:f>'Fixed Users'!$E$4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DQN</c:v>
          </c:tx>
          <c:spPr>
            <a:solidFill xmlns:a="http://schemas.openxmlformats.org/drawingml/2006/main">
              <a:srgbClr val="9B72CF"/>
            </a:solidFill>
          </c:spPr>
          <c:cat>
            <c:strRef>
              <c:f>'Fixed Users'!$A$4</c:f>
              <c:strCache>
                <c:ptCount val="0"/>
              </c:strCache>
            </c:strRef>
          </c:cat>
          <c:val>
            <c:numRef>
              <c:f>'Fixed Users'!$F$4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43"/>
          <c:min val="0.1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10 servers / 130 users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NS-P</c:v>
          </c:tx>
          <c:spPr>
            <a:solidFill xmlns:a="http://schemas.openxmlformats.org/drawingml/2006/main">
              <a:srgbClr val="64B5F6"/>
            </a:solidFill>
          </c:spPr>
          <c:cat>
            <c:strRef>
              <c:f>'Fixed Users'!$A$5</c:f>
              <c:strCache>
                <c:ptCount val="0"/>
              </c:strCache>
            </c:strRef>
          </c:cat>
          <c:val>
            <c:numRef>
              <c:f>'Fixed Users'!$B$5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PSP</c:v>
          </c:tx>
          <c:spPr>
            <a:solidFill xmlns:a="http://schemas.openxmlformats.org/drawingml/2006/main">
              <a:srgbClr val="FF5A5F"/>
            </a:solidFill>
          </c:spPr>
          <c:cat>
            <c:strRef>
              <c:f>'Fixed Users'!$A$5</c:f>
              <c:strCache>
                <c:ptCount val="0"/>
              </c:strCache>
            </c:strRef>
          </c:cat>
          <c:val>
            <c:numRef>
              <c:f>'Fixed Users'!$C$5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GCP</c:v>
          </c:tx>
          <c:spPr>
            <a:solidFill xmlns:a="http://schemas.openxmlformats.org/drawingml/2006/main">
              <a:srgbClr val="39B96B"/>
            </a:solidFill>
          </c:spPr>
          <c:cat>
            <c:strRef>
              <c:f>'Fixed Users'!$A$5</c:f>
              <c:strCache>
                <c:ptCount val="0"/>
              </c:strCache>
            </c:strRef>
          </c:cat>
          <c:val>
            <c:numRef>
              <c:f>'Fixed Users'!$D$5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GDP</c:v>
          </c:tx>
          <c:spPr>
            <a:solidFill xmlns:a="http://schemas.openxmlformats.org/drawingml/2006/main">
              <a:srgbClr val="F2B84B"/>
            </a:solidFill>
          </c:spPr>
          <c:cat>
            <c:strRef>
              <c:f>'Fixed Users'!$A$5</c:f>
              <c:strCache>
                <c:ptCount val="0"/>
              </c:strCache>
            </c:strRef>
          </c:cat>
          <c:val>
            <c:numRef>
              <c:f>'Fixed Users'!$E$5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DQN</c:v>
          </c:tx>
          <c:spPr>
            <a:solidFill xmlns:a="http://schemas.openxmlformats.org/drawingml/2006/main">
              <a:srgbClr val="9B72CF"/>
            </a:solidFill>
          </c:spPr>
          <c:cat>
            <c:strRef>
              <c:f>'Fixed Users'!$A$5</c:f>
              <c:strCache>
                <c:ptCount val="0"/>
              </c:strCache>
            </c:strRef>
          </c:cat>
          <c:val>
            <c:numRef>
              <c:f>'Fixed Users'!$F$5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65"/>
          <c:min val="0.3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15 servers / 130 users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NS-P</c:v>
          </c:tx>
          <c:spPr>
            <a:solidFill xmlns:a="http://schemas.openxmlformats.org/drawingml/2006/main">
              <a:srgbClr val="64B5F6"/>
            </a:solidFill>
          </c:spPr>
          <c:cat>
            <c:strRef>
              <c:f>'Fixed Users'!$A$6</c:f>
              <c:strCache>
                <c:ptCount val="0"/>
              </c:strCache>
            </c:strRef>
          </c:cat>
          <c:val>
            <c:numRef>
              <c:f>'Fixed Users'!$B$6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PSP</c:v>
          </c:tx>
          <c:spPr>
            <a:solidFill xmlns:a="http://schemas.openxmlformats.org/drawingml/2006/main">
              <a:srgbClr val="FF5A5F"/>
            </a:solidFill>
          </c:spPr>
          <c:cat>
            <c:strRef>
              <c:f>'Fixed Users'!$A$6</c:f>
              <c:strCache>
                <c:ptCount val="0"/>
              </c:strCache>
            </c:strRef>
          </c:cat>
          <c:val>
            <c:numRef>
              <c:f>'Fixed Users'!$C$6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GCP</c:v>
          </c:tx>
          <c:spPr>
            <a:solidFill xmlns:a="http://schemas.openxmlformats.org/drawingml/2006/main">
              <a:srgbClr val="39B96B"/>
            </a:solidFill>
          </c:spPr>
          <c:cat>
            <c:strRef>
              <c:f>'Fixed Users'!$A$6</c:f>
              <c:strCache>
                <c:ptCount val="0"/>
              </c:strCache>
            </c:strRef>
          </c:cat>
          <c:val>
            <c:numRef>
              <c:f>'Fixed Users'!$D$6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GDP</c:v>
          </c:tx>
          <c:spPr>
            <a:solidFill xmlns:a="http://schemas.openxmlformats.org/drawingml/2006/main">
              <a:srgbClr val="F2B84B"/>
            </a:solidFill>
          </c:spPr>
          <c:cat>
            <c:strRef>
              <c:f>'Fixed Users'!$A$6</c:f>
              <c:strCache>
                <c:ptCount val="0"/>
              </c:strCache>
            </c:strRef>
          </c:cat>
          <c:val>
            <c:numRef>
              <c:f>'Fixed Users'!$E$6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DQN</c:v>
          </c:tx>
          <c:spPr>
            <a:solidFill xmlns:a="http://schemas.openxmlformats.org/drawingml/2006/main">
              <a:srgbClr val="9B72CF"/>
            </a:solidFill>
          </c:spPr>
          <c:cat>
            <c:strRef>
              <c:f>'Fixed Users'!$A$6</c:f>
              <c:strCache>
                <c:ptCount val="0"/>
              </c:strCache>
            </c:strRef>
          </c:cat>
          <c:val>
            <c:numRef>
              <c:f>'Fixed Users'!$F$6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65"/>
          <c:min val="0.2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20 servers / 130 users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NS-P</c:v>
          </c:tx>
          <c:spPr>
            <a:solidFill xmlns:a="http://schemas.openxmlformats.org/drawingml/2006/main">
              <a:srgbClr val="64B5F6"/>
            </a:solidFill>
          </c:spPr>
          <c:cat>
            <c:strRef>
              <c:f>'Fixed Users'!$A$7</c:f>
              <c:strCache>
                <c:ptCount val="0"/>
              </c:strCache>
            </c:strRef>
          </c:cat>
          <c:val>
            <c:numRef>
              <c:f>'Fixed Users'!$B$7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PSP</c:v>
          </c:tx>
          <c:spPr>
            <a:solidFill xmlns:a="http://schemas.openxmlformats.org/drawingml/2006/main">
              <a:srgbClr val="FF5A5F"/>
            </a:solidFill>
          </c:spPr>
          <c:cat>
            <c:strRef>
              <c:f>'Fixed Users'!$A$7</c:f>
              <c:strCache>
                <c:ptCount val="0"/>
              </c:strCache>
            </c:strRef>
          </c:cat>
          <c:val>
            <c:numRef>
              <c:f>'Fixed Users'!$C$7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GCP</c:v>
          </c:tx>
          <c:spPr>
            <a:solidFill xmlns:a="http://schemas.openxmlformats.org/drawingml/2006/main">
              <a:srgbClr val="39B96B"/>
            </a:solidFill>
          </c:spPr>
          <c:cat>
            <c:strRef>
              <c:f>'Fixed Users'!$A$7</c:f>
              <c:strCache>
                <c:ptCount val="0"/>
              </c:strCache>
            </c:strRef>
          </c:cat>
          <c:val>
            <c:numRef>
              <c:f>'Fixed Users'!$D$7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GDP</c:v>
          </c:tx>
          <c:spPr>
            <a:solidFill xmlns:a="http://schemas.openxmlformats.org/drawingml/2006/main">
              <a:srgbClr val="F2B84B"/>
            </a:solidFill>
          </c:spPr>
          <c:cat>
            <c:strRef>
              <c:f>'Fixed Users'!$A$7</c:f>
              <c:strCache>
                <c:ptCount val="0"/>
              </c:strCache>
            </c:strRef>
          </c:cat>
          <c:val>
            <c:numRef>
              <c:f>'Fixed Users'!$E$7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DQN</c:v>
          </c:tx>
          <c:spPr>
            <a:solidFill xmlns:a="http://schemas.openxmlformats.org/drawingml/2006/main">
              <a:srgbClr val="9B72CF"/>
            </a:solidFill>
          </c:spPr>
          <c:cat>
            <c:strRef>
              <c:f>'Fixed Users'!$A$7</c:f>
              <c:strCache>
                <c:ptCount val="0"/>
              </c:strCache>
            </c:strRef>
          </c:cat>
          <c:val>
            <c:numRef>
              <c:f>'Fixed Users'!$F$7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73"/>
          <c:min val="0.27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4fbb4892004cf9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1ac886bea74dfe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e8289ae0cd4ed4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37b0489d31483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3a27b4fc0742d2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592cd96a0e422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26df3e848949a2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4e5d227d1d41b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4b1cf31408746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55ee443b24b4a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 ht="28" customHeight="1">
      <x:c r="A1" s="4" t="str">
        <x:v>Stage-II Five-Method Experiment Workbook</x:v>
      </x:c>
      <x:c r="B1" s="4" t="str">
        <x:v>Stage-II Five-Method Experiment Workbook</x:v>
      </x:c>
      <x:c r="C1" s="4" t="str">
        <x:v>Stage-II Five-Method Experiment Workbook</x:v>
      </x:c>
      <x:c r="D1" s="4" t="str">
        <x:v>Stage-II Five-Method Experiment Workbook</x:v>
      </x:c>
      <x:c r="E1" s="4" t="str">
        <x:v>Stage-II Five-Method Experiment Workbook</x:v>
      </x:c>
      <x:c r="F1" s="4" t="str">
        <x:v>Stage-II Five-Method Experiment Workbook</x:v>
      </x:c>
    </x:row>
    <x:row r="3">
      <x:c r="A3" s="9" t="str">
        <x:v>Item</x:v>
      </x:c>
      <x:c r="B3" s="9" t="str">
        <x:v>Description</x:v>
      </x:c>
    </x:row>
    <x:row r="4">
      <x:c r="A4" s="10" t="str">
        <x:v>Metric</x:v>
      </x:c>
      <x:c r="B4" s="14" t="str">
        <x:v>Best Q (normalized); lower is better</x:v>
      </x:c>
    </x:row>
    <x:row r="5">
      <x:c r="A5" s="10" t="str">
        <x:v>Methods</x:v>
      </x:c>
      <x:c r="B5" s="14" t="str">
        <x:v>NS-P, PSP, GCP, GDP, and DQN</x:v>
      </x:c>
    </x:row>
    <x:row r="6">
      <x:c r="A6" s="10" t="str">
        <x:v>Fixed Servers</x:v>
      </x:c>
      <x:c r="B6" s="14" t="str">
        <x:v>10 deployed servers; users = 100, 130, 150, 180</x:v>
      </x:c>
    </x:row>
    <x:row r="7">
      <x:c r="A7" s="10" t="str">
        <x:v>Fixed Users</x:v>
      </x:c>
      <x:c r="B7" s="14" t="str">
        <x:v>130 users; deployed servers = 5, 10, 15, 20</x:v>
      </x:c>
    </x:row>
    <x:row r="8">
      <x:c r="A8" s="10" t="str">
        <x:v>Uncertainty bars</x:v>
      </x:c>
      <x:c r="B8" s="14" t="str">
        <x:v>Not shown because the archived comparison values do not include independent repeated-run distributions for every method</x:v>
      </x:c>
    </x:row>
    <x:row r="9">
      <x:c r="A9" s="12" t="str">
        <x:v>Source</x:v>
      </x:c>
      <x:c r="B9" s="15" t="str">
        <x:v>Original paper Excel values for NS-P/PSP/GCP/GDP; seed-42 DQN outputs normalized with the corresponding paper bounds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8" customHeight="1">
      <x:c r="A1" s="4" t="str">
        <x:v>Stage-II Best Q: 10 Servers with Increasing Users</x:v>
      </x:c>
      <x:c r="B1" s="4" t="str">
        <x:v>Stage-II Best Q: 10 Servers with Increasing Users</x:v>
      </x:c>
      <x:c r="C1" s="4" t="str">
        <x:v>Stage-II Best Q: 10 Servers with Increasing Users</x:v>
      </x:c>
      <x:c r="D1" s="4" t="str">
        <x:v>Stage-II Best Q: 10 Servers with Increasing Users</x:v>
      </x:c>
      <x:c r="E1" s="4" t="str">
        <x:v>Stage-II Best Q: 10 Servers with Increasing Users</x:v>
      </x:c>
      <x:c r="F1" s="4" t="str">
        <x:v>Stage-II Best Q: 10 Servers with Increasing Users</x:v>
      </x:c>
    </x:row>
    <x:row r="3">
      <x:c r="A3" s="62" t="str">
        <x:v>Configuration</x:v>
      </x:c>
      <x:c r="B3" s="63" t="str">
        <x:v>NS-P</x:v>
      </x:c>
      <x:c r="C3" s="64" t="str">
        <x:v>PSP</x:v>
      </x:c>
      <x:c r="D3" s="65" t="str">
        <x:v>GCP</x:v>
      </x:c>
      <x:c r="E3" s="66" t="str">
        <x:v>GDP</x:v>
      </x:c>
      <x:c r="F3" s="67" t="str">
        <x:v>DQN</x:v>
      </x:c>
    </x:row>
    <x:row r="4">
      <x:c r="A4" s="68" t="str">
        <x:v>10 servers / 100 users</x:v>
      </x:c>
      <x:c r="B4" s="57" t="n">
        <x:v>0.2975</x:v>
      </x:c>
      <x:c r="C4" s="57" t="n">
        <x:v>0.2686</x:v>
      </x:c>
      <x:c r="D4" s="57" t="n">
        <x:v>0.2996</x:v>
      </x:c>
      <x:c r="E4" s="57" t="n">
        <x:v>0.2748</x:v>
      </x:c>
      <x:c r="F4" s="58" t="n">
        <x:v>0.5770307911</x:v>
      </x:c>
    </x:row>
    <x:row r="5">
      <x:c r="A5" s="68" t="str">
        <x:v>10 servers / 130 users</x:v>
      </x:c>
      <x:c r="B5" s="57" t="n">
        <x:v>0.3894</x:v>
      </x:c>
      <x:c r="C5" s="57" t="n">
        <x:v>0.3282</x:v>
      </x:c>
      <x:c r="D5" s="57" t="n">
        <x:v>0.355</x:v>
      </x:c>
      <x:c r="E5" s="57" t="n">
        <x:v>0.3363</x:v>
      </x:c>
      <x:c r="F5" s="58" t="n">
        <x:v>0.6125035722</x:v>
      </x:c>
    </x:row>
    <x:row r="6">
      <x:c r="A6" s="68" t="str">
        <x:v>10 servers / 150 users</x:v>
      </x:c>
      <x:c r="B6" s="57" t="n">
        <x:v>0.3023</x:v>
      </x:c>
      <x:c r="C6" s="57" t="n">
        <x:v>0.2749</x:v>
      </x:c>
      <x:c r="D6" s="57" t="n">
        <x:v>0.2868</x:v>
      </x:c>
      <x:c r="E6" s="57" t="n">
        <x:v>0.2847</x:v>
      </x:c>
      <x:c r="F6" s="58" t="n">
        <x:v>0.497196924</x:v>
      </x:c>
    </x:row>
    <x:row r="7">
      <x:c r="A7" s="69" t="str">
        <x:v>10 servers / 180 users</x:v>
      </x:c>
      <x:c r="B7" s="60" t="n">
        <x:v>0.2976</x:v>
      </x:c>
      <x:c r="C7" s="60" t="n">
        <x:v>0.2774</x:v>
      </x:c>
      <x:c r="D7" s="60" t="n">
        <x:v>0.2955</x:v>
      </x:c>
      <x:c r="E7" s="60" t="n">
        <x:v>0.2896</x:v>
      </x:c>
      <x:c r="F7" s="61" t="n">
        <x:v>0.4840131472</x:v>
      </x:c>
    </x:row>
    <x:row r="52">
      <x:c r="A52" s="73" t="str">
        <x:v>Figure note</x:v>
      </x:c>
      <x:c r="B52" s="74"/>
      <x:c r="C52" s="74"/>
      <x:c r="D52" s="74"/>
      <x:c r="E52" s="74"/>
      <x:c r="F52" s="75"/>
    </x:row>
    <x:row r="53">
      <x:c r="A53" s="76" t="str">
        <x:v>The editable charts use the same five-method values as the manuscript figures.</x:v>
      </x:c>
      <x:c r="B53" s="72"/>
      <x:c r="C53" s="72"/>
      <x:c r="D53" s="72"/>
      <x:c r="E53" s="72"/>
      <x:c r="F53" s="77"/>
    </x:row>
    <x:row r="54">
      <x:c r="A54" s="78" t="str">
        <x:v>No uncertainty bars are shown because the archived values do not contain per-method repeated-run distributions.</x:v>
      </x:c>
      <x:c r="B54" s="79"/>
      <x:c r="C54" s="79"/>
      <x:c r="D54" s="79"/>
      <x:c r="E54" s="79"/>
      <x:c r="F54" s="80"/>
    </x:row>
  </x:sheetData>
  <x:mergeCells>
    <x:mergeCell ref="A1:F1"/>
    <x:mergeCell ref="A52:F52"/>
    <x:mergeCell ref="A53:F53"/>
    <x:mergeCell ref="A54:F54"/>
  </x:mergeCells>
  <x:pageMargins left="0.7" right="0.7" top="0.75" bottom="0.75" header="0.3" footer="0.3"/>
  <x:drawing xmlns:r="http://schemas.openxmlformats.org/officeDocument/2006/relationships" r:id="R34b1cf314087464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8" customHeight="1">
      <x:c r="A1" s="4" t="str">
        <x:v>Stage-II Best Q: 130 Users with Increasing Servers</x:v>
      </x:c>
      <x:c r="B1" s="4" t="str">
        <x:v>Stage-II Best Q: 130 Users with Increasing Servers</x:v>
      </x:c>
      <x:c r="C1" s="4" t="str">
        <x:v>Stage-II Best Q: 130 Users with Increasing Servers</x:v>
      </x:c>
      <x:c r="D1" s="4" t="str">
        <x:v>Stage-II Best Q: 130 Users with Increasing Servers</x:v>
      </x:c>
      <x:c r="E1" s="4" t="str">
        <x:v>Stage-II Best Q: 130 Users with Increasing Servers</x:v>
      </x:c>
      <x:c r="F1" s="4" t="str">
        <x:v>Stage-II Best Q: 130 Users with Increasing Servers</x:v>
      </x:c>
    </x:row>
    <x:row r="3">
      <x:c r="A3" s="62" t="str">
        <x:v>Configuration</x:v>
      </x:c>
      <x:c r="B3" s="63" t="str">
        <x:v>NS-P</x:v>
      </x:c>
      <x:c r="C3" s="64" t="str">
        <x:v>PSP</x:v>
      </x:c>
      <x:c r="D3" s="65" t="str">
        <x:v>GCP</x:v>
      </x:c>
      <x:c r="E3" s="66" t="str">
        <x:v>GDP</x:v>
      </x:c>
      <x:c r="F3" s="67" t="str">
        <x:v>DQN</x:v>
      </x:c>
    </x:row>
    <x:row r="4">
      <x:c r="A4" s="68" t="str">
        <x:v>5 servers / 130 users</x:v>
      </x:c>
      <x:c r="B4" s="57" t="n">
        <x:v>0.215</x:v>
      </x:c>
      <x:c r="C4" s="57" t="n">
        <x:v>0.1945</x:v>
      </x:c>
      <x:c r="D4" s="57" t="n">
        <x:v>0.2304</x:v>
      </x:c>
      <x:c r="E4" s="57" t="n">
        <x:v>0.2393</x:v>
      </x:c>
      <x:c r="F4" s="58" t="n">
        <x:v>0.4051715848</x:v>
      </x:c>
    </x:row>
    <x:row r="5">
      <x:c r="A5" s="68" t="str">
        <x:v>10 servers / 130 users</x:v>
      </x:c>
      <x:c r="B5" s="57" t="n">
        <x:v>0.3894</x:v>
      </x:c>
      <x:c r="C5" s="57" t="n">
        <x:v>0.3282</x:v>
      </x:c>
      <x:c r="D5" s="57" t="n">
        <x:v>0.355</x:v>
      </x:c>
      <x:c r="E5" s="57" t="n">
        <x:v>0.3363</x:v>
      </x:c>
      <x:c r="F5" s="58" t="n">
        <x:v>0.6125035722</x:v>
      </x:c>
    </x:row>
    <x:row r="6">
      <x:c r="A6" s="68" t="str">
        <x:v>15 servers / 130 users</x:v>
      </x:c>
      <x:c r="B6" s="57" t="n">
        <x:v>0.3072</x:v>
      </x:c>
      <x:c r="C6" s="57" t="n">
        <x:v>0.2646</x:v>
      </x:c>
      <x:c r="D6" s="57" t="n">
        <x:v>0.2729</x:v>
      </x:c>
      <x:c r="E6" s="57" t="n">
        <x:v>0.298</x:v>
      </x:c>
      <x:c r="F6" s="58" t="n">
        <x:v>0.6077332731</x:v>
      </x:c>
    </x:row>
    <x:row r="7">
      <x:c r="A7" s="69" t="str">
        <x:v>20 servers / 130 users</x:v>
      </x:c>
      <x:c r="B7" s="60" t="n">
        <x:v>0.3196</x:v>
      </x:c>
      <x:c r="C7" s="60" t="n">
        <x:v>0.2864</x:v>
      </x:c>
      <x:c r="D7" s="60" t="n">
        <x:v>0.298</x:v>
      </x:c>
      <x:c r="E7" s="60" t="n">
        <x:v>0.3049</x:v>
      </x:c>
      <x:c r="F7" s="61" t="n">
        <x:v>0.7077210813</x:v>
      </x:c>
    </x:row>
    <x:row r="52">
      <x:c r="A52" s="73" t="str">
        <x:v>Figure note</x:v>
      </x:c>
      <x:c r="B52" s="74"/>
      <x:c r="C52" s="74"/>
      <x:c r="D52" s="74"/>
      <x:c r="E52" s="74"/>
      <x:c r="F52" s="75"/>
    </x:row>
    <x:row r="53">
      <x:c r="A53" s="76" t="str">
        <x:v>The editable charts use the same five-method values as the manuscript figures.</x:v>
      </x:c>
      <x:c r="B53" s="72"/>
      <x:c r="C53" s="72"/>
      <x:c r="D53" s="72"/>
      <x:c r="E53" s="72"/>
      <x:c r="F53" s="77"/>
    </x:row>
    <x:row r="54">
      <x:c r="A54" s="78" t="str">
        <x:v>No uncertainty bars are shown because the archived values do not contain per-method repeated-run distributions.</x:v>
      </x:c>
      <x:c r="B54" s="79"/>
      <x:c r="C54" s="79"/>
      <x:c r="D54" s="79"/>
      <x:c r="E54" s="79"/>
      <x:c r="F54" s="80"/>
    </x:row>
  </x:sheetData>
  <x:mergeCells>
    <x:mergeCell ref="A1:F1"/>
    <x:mergeCell ref="A52:F52"/>
    <x:mergeCell ref="A53:F53"/>
    <x:mergeCell ref="A54:F54"/>
  </x:mergeCells>
  <x:pageMargins left="0.7" right="0.7" top="0.75" bottom="0.75" header="0.3" footer="0.3"/>
  <x:drawing xmlns:r="http://schemas.openxmlformats.org/officeDocument/2006/relationships" r:id="R555ee443b24b4ace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2" hidden="0" customWidth="1"/>
    <x:col min="5" max="5" width="17" hidden="0" customWidth="1"/>
    <x:col min="6" max="6" width="17" hidden="0" customWidth="1"/>
  </x:cols>
  <x:sheetData>
    <x:row r="1" ht="28" customHeight="1">
      <x:c r="A1" s="4" t="str">
        <x:v>Result Validation</x:v>
      </x:c>
      <x:c r="B1" s="4" t="str">
        <x:v>Result Validation</x:v>
      </x:c>
      <x:c r="C1" s="4" t="str">
        <x:v>Result Validation</x:v>
      </x:c>
      <x:c r="D1" s="4" t="str">
        <x:v>Result Validation</x:v>
      </x:c>
      <x:c r="E1" s="4" t="str">
        <x:v>Result Validation</x:v>
      </x:c>
      <x:c r="F1" s="4" t="str">
        <x:v>Result Validation</x:v>
      </x:c>
    </x:row>
    <x:row r="3">
      <x:c r="A3" s="86" t="str">
        <x:v>Configuration</x:v>
      </x:c>
      <x:c r="B3" s="87" t="str">
        <x:v>PSP Q</x:v>
      </x:c>
      <x:c r="C3" s="87" t="str">
        <x:v>Best non-PSP evolutionary Q</x:v>
      </x:c>
      <x:c r="D3" s="87" t="str">
        <x:v>DQN Q</x:v>
      </x:c>
      <x:c r="E3" s="87" t="str">
        <x:v>PSP reduction</x:v>
      </x:c>
      <x:c r="F3" s="88" t="str">
        <x:v>PSP is lowest</x:v>
      </x:c>
    </x:row>
    <x:row r="4">
      <x:c r="A4" s="89" t="str">
        <x:v>10_100</x:v>
      </x:c>
      <x:c r="B4" s="48" t="n">
        <x:f>'Fixed Servers'!C4</x:f>
        <x:v>0.2686</x:v>
      </x:c>
      <x:c r="C4" s="48" t="n">
        <x:f>MIN('Fixed Servers'!B4,'Fixed Servers'!D4,'Fixed Servers'!E4)</x:f>
        <x:v>0.2748</x:v>
      </x:c>
      <x:c r="D4" s="48" t="n">
        <x:f>'Fixed Servers'!F4</x:f>
        <x:v>0.5770307911</x:v>
      </x:c>
      <x:c r="E4" s="90" t="n">
        <x:f>(C4-B4)/C4</x:f>
        <x:v>0.022561863173216824</x:v>
      </x:c>
      <x:c r="F4" s="40" t="n">
        <x:f>IF(B4=MIN(B4,C4,D4),1,0)</x:f>
        <x:v>1</x:v>
      </x:c>
    </x:row>
    <x:row r="5">
      <x:c r="A5" s="89" t="str">
        <x:v>10_130</x:v>
      </x:c>
      <x:c r="B5" s="48" t="n">
        <x:f>'Fixed Servers'!C5</x:f>
        <x:v>0.3282</x:v>
      </x:c>
      <x:c r="C5" s="48" t="n">
        <x:f>MIN('Fixed Servers'!B5,'Fixed Servers'!D5,'Fixed Servers'!E5)</x:f>
        <x:v>0.3363</x:v>
      </x:c>
      <x:c r="D5" s="48" t="n">
        <x:f>'Fixed Servers'!F5</x:f>
        <x:v>0.6125035722</x:v>
      </x:c>
      <x:c r="E5" s="90" t="n">
        <x:f>(C5-B5)/C5</x:f>
        <x:v>0.024085637823371978</x:v>
      </x:c>
      <x:c r="F5" s="40" t="n">
        <x:f>IF(B5=MIN(B5,C5,D5),1,0)</x:f>
        <x:v>1</x:v>
      </x:c>
    </x:row>
    <x:row r="6">
      <x:c r="A6" s="89" t="str">
        <x:v>10_150</x:v>
      </x:c>
      <x:c r="B6" s="48" t="n">
        <x:f>'Fixed Servers'!C6</x:f>
        <x:v>0.2749</x:v>
      </x:c>
      <x:c r="C6" s="48" t="n">
        <x:f>MIN('Fixed Servers'!B6,'Fixed Servers'!D6,'Fixed Servers'!E6)</x:f>
        <x:v>0.2847</x:v>
      </x:c>
      <x:c r="D6" s="48" t="n">
        <x:f>'Fixed Servers'!F6</x:f>
        <x:v>0.497196924</x:v>
      </x:c>
      <x:c r="E6" s="90" t="n">
        <x:f>(C6-B6)/C6</x:f>
        <x:v>0.03442219880576056</x:v>
      </x:c>
      <x:c r="F6" s="40" t="n">
        <x:f>IF(B6=MIN(B6,C6,D6),1,0)</x:f>
        <x:v>1</x:v>
      </x:c>
    </x:row>
    <x:row r="7">
      <x:c r="A7" s="89" t="str">
        <x:v>10_180</x:v>
      </x:c>
      <x:c r="B7" s="48" t="n">
        <x:f>'Fixed Servers'!C7</x:f>
        <x:v>0.2774</x:v>
      </x:c>
      <x:c r="C7" s="48" t="n">
        <x:f>MIN('Fixed Servers'!B7,'Fixed Servers'!D7,'Fixed Servers'!E7)</x:f>
        <x:v>0.2896</x:v>
      </x:c>
      <x:c r="D7" s="48" t="n">
        <x:f>'Fixed Servers'!F7</x:f>
        <x:v>0.4840131472</x:v>
      </x:c>
      <x:c r="E7" s="90" t="n">
        <x:f>(C7-B7)/C7</x:f>
        <x:v>0.04212707182320457</x:v>
      </x:c>
      <x:c r="F7" s="40" t="n">
        <x:f>IF(B7=MIN(B7,C7,D7),1,0)</x:f>
        <x:v>1</x:v>
      </x:c>
    </x:row>
    <x:row r="8">
      <x:c r="A8" s="89" t="str">
        <x:v>5_130</x:v>
      </x:c>
      <x:c r="B8" s="48" t="n">
        <x:f>'Fixed Users'!C4</x:f>
        <x:v>0.1945</x:v>
      </x:c>
      <x:c r="C8" s="48" t="n">
        <x:f>MIN('Fixed Users'!B4,'Fixed Users'!D4,'Fixed Users'!E4)</x:f>
        <x:v>0.215</x:v>
      </x:c>
      <x:c r="D8" s="48" t="n">
        <x:f>'Fixed Users'!F4</x:f>
        <x:v>0.4051715848</x:v>
      </x:c>
      <x:c r="E8" s="90" t="n">
        <x:f>(C8-B8)/C8</x:f>
        <x:v>0.09534883720930229</x:v>
      </x:c>
      <x:c r="F8" s="40" t="n">
        <x:f>IF(B8=MIN(B8,C8,D8),1,0)</x:f>
        <x:v>1</x:v>
      </x:c>
    </x:row>
    <x:row r="9">
      <x:c r="A9" s="89" t="str">
        <x:v>15_130</x:v>
      </x:c>
      <x:c r="B9" s="48" t="n">
        <x:f>'Fixed Users'!C6</x:f>
        <x:v>0.2646</x:v>
      </x:c>
      <x:c r="C9" s="48" t="n">
        <x:f>MIN('Fixed Users'!B6,'Fixed Users'!D6,'Fixed Users'!E6)</x:f>
        <x:v>0.2729</x:v>
      </x:c>
      <x:c r="D9" s="48" t="n">
        <x:f>'Fixed Users'!F6</x:f>
        <x:v>0.6077332731</x:v>
      </x:c>
      <x:c r="E9" s="90" t="n">
        <x:f>(C9-B9)/C9</x:f>
        <x:v>0.030414071088310644</x:v>
      </x:c>
      <x:c r="F9" s="40" t="n">
        <x:f>IF(B9=MIN(B9,C9,D9),1,0)</x:f>
        <x:v>1</x:v>
      </x:c>
    </x:row>
    <x:row r="10">
      <x:c r="A10" s="91" t="str">
        <x:v>20_130</x:v>
      </x:c>
      <x:c r="B10" s="92" t="n">
        <x:f>'Fixed Users'!C7</x:f>
        <x:v>0.2864</x:v>
      </x:c>
      <x:c r="C10" s="92" t="n">
        <x:f>MIN('Fixed Users'!B7,'Fixed Users'!D7,'Fixed Users'!E7)</x:f>
        <x:v>0.298</x:v>
      </x:c>
      <x:c r="D10" s="92" t="n">
        <x:f>'Fixed Users'!F7</x:f>
        <x:v>0.7077210813</x:v>
      </x:c>
      <x:c r="E10" s="93" t="n">
        <x:f>(C10-B10)/C10</x:f>
        <x:v>0.038926174496644296</x:v>
      </x:c>
      <x:c r="F10" s="94" t="n">
        <x:f>IF(B10=MIN(B10,C10,D10),1,0)</x:f>
        <x:v>1</x:v>
      </x:c>
    </x:row>
    <x:row r="12">
      <x:c r="A12" s="95" t="str">
        <x:v>Check</x:v>
      </x:c>
      <x:c r="B12" s="95" t="str">
        <x:v>Expected</x:v>
      </x:c>
      <x:c r="C12" s="95" t="str">
        <x:v>Computed</x:v>
      </x:c>
      <x:c r="D12"/>
      <x:c r="E12"/>
      <x:c r="F12"/>
    </x:row>
    <x:row r="13">
      <x:c r="A13" s="96" t="str">
        <x:v>Unique configurations with PSP lowest</x:v>
      </x:c>
      <x:c r="B13" s="96" t="n">
        <x:v>7</x:v>
      </x:c>
      <x:c r="C13" s="96" t="n">
        <x:f>SUM(F4:F10)</x:f>
        <x:v>7</x:v>
      </x:c>
      <x:c r="D13"/>
      <x:c r="E13"/>
      <x:c r="F13"/>
    </x:row>
  </x:sheetData>
  <x:mergeCells>
    <x:mergeCell ref="A1:F1"/>
  </x:mergeCells>
  <x:pageMargins left="0.7" right="0.7" top="0.75" bottom="0.75" header="0.3" footer="0.3"/>
</x:worksheet>
</file>